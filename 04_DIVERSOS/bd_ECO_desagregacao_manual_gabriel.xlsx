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el.egger\Desktop\"/>
    </mc:Choice>
  </mc:AlternateContent>
  <xr:revisionPtr revIDLastSave="0" documentId="13_ncr:1_{53999027-7A4E-4EFB-B562-0F52DDD3E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Sheet1!$A$1:$CT$73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73" i="1" l="1"/>
  <c r="CY72" i="1"/>
  <c r="CY69" i="1"/>
  <c r="CY68" i="1"/>
  <c r="CY65" i="1"/>
  <c r="CY64" i="1"/>
  <c r="CY61" i="1"/>
  <c r="CY60" i="1"/>
  <c r="CY57" i="1"/>
  <c r="CY56" i="1"/>
  <c r="CY53" i="1"/>
  <c r="CY52" i="1"/>
  <c r="CY49" i="1"/>
  <c r="CY48" i="1"/>
  <c r="CY45" i="1"/>
  <c r="CY4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X73" i="1"/>
  <c r="CX72" i="1"/>
  <c r="CX69" i="1"/>
  <c r="CX68" i="1"/>
  <c r="CX65" i="1"/>
  <c r="CX64" i="1"/>
  <c r="CX61" i="1"/>
  <c r="CX60" i="1"/>
  <c r="CX57" i="1"/>
  <c r="CX56" i="1"/>
  <c r="CX53" i="1"/>
  <c r="CX52" i="1"/>
  <c r="CX49" i="1"/>
  <c r="CX48" i="1"/>
  <c r="CX45" i="1"/>
  <c r="CX4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W73" i="1"/>
  <c r="CW72" i="1"/>
  <c r="CW69" i="1"/>
  <c r="CW68" i="1"/>
  <c r="CW65" i="1"/>
  <c r="CW64" i="1"/>
  <c r="CW61" i="1"/>
  <c r="CW60" i="1"/>
  <c r="CW57" i="1"/>
  <c r="CW56" i="1"/>
  <c r="CW53" i="1"/>
  <c r="CW52" i="1"/>
  <c r="CW49" i="1"/>
  <c r="CW48" i="1"/>
  <c r="CW45" i="1"/>
  <c r="CW4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V73" i="1"/>
  <c r="CV72" i="1"/>
  <c r="CV69" i="1"/>
  <c r="CV68" i="1"/>
  <c r="CV65" i="1"/>
  <c r="CV64" i="1"/>
  <c r="CV61" i="1"/>
  <c r="CV60" i="1"/>
  <c r="CV57" i="1"/>
  <c r="CV56" i="1"/>
  <c r="CV53" i="1"/>
  <c r="CV52" i="1"/>
  <c r="CV49" i="1"/>
  <c r="CV48" i="1"/>
  <c r="CV45" i="1"/>
  <c r="CV44" i="1"/>
  <c r="CV33" i="1"/>
  <c r="CV32" i="1"/>
  <c r="CV31" i="1"/>
  <c r="CV30" i="1"/>
  <c r="CV29" i="1"/>
  <c r="CV28" i="1"/>
  <c r="CV27" i="1"/>
  <c r="CV26" i="1"/>
  <c r="CV25" i="1"/>
  <c r="CV24" i="1"/>
  <c r="CV23" i="1"/>
  <c r="CV22" i="1"/>
  <c r="CV21" i="1"/>
  <c r="CV20" i="1"/>
</calcChain>
</file>

<file path=xl/sharedStrings.xml><?xml version="1.0" encoding="utf-8"?>
<sst xmlns="http://schemas.openxmlformats.org/spreadsheetml/2006/main" count="1499" uniqueCount="355">
  <si>
    <t>MES_REF</t>
  </si>
  <si>
    <t>UNID_FAT</t>
  </si>
  <si>
    <t>UNID_PROD</t>
  </si>
  <si>
    <t>MESMA_REG</t>
  </si>
  <si>
    <t>PRIOR_MATPAR</t>
  </si>
  <si>
    <t>PRIOR_ROT</t>
  </si>
  <si>
    <t>COD_PROD</t>
  </si>
  <si>
    <t>DESC_PROD</t>
  </si>
  <si>
    <t>LINHA_PROD</t>
  </si>
  <si>
    <t>FAMILIA_PROD</t>
  </si>
  <si>
    <t>TIPO_PROD</t>
  </si>
  <si>
    <t>COD_FER_UNID</t>
  </si>
  <si>
    <t>N_CAVIDADE</t>
  </si>
  <si>
    <t>CICLO_MOLDE</t>
  </si>
  <si>
    <t>PCS_HORA</t>
  </si>
  <si>
    <t>MO</t>
  </si>
  <si>
    <t>ALOC_REC</t>
  </si>
  <si>
    <t>GRUPO_SETOR</t>
  </si>
  <si>
    <t>PESO_PROD_KG</t>
  </si>
  <si>
    <t>LOTE_ECON</t>
  </si>
  <si>
    <t>QTD_EMB</t>
  </si>
  <si>
    <t>LOTE_MIN</t>
  </si>
  <si>
    <t>IND</t>
  </si>
  <si>
    <t>ID_COMP</t>
  </si>
  <si>
    <t>ID_PROD_UNID_FAT</t>
  </si>
  <si>
    <t>ID_PROD_UNID_FAT_ANT</t>
  </si>
  <si>
    <t>PREV_PCS</t>
  </si>
  <si>
    <t>EST_SEG_PCS</t>
  </si>
  <si>
    <t>EST_INI_PCS</t>
  </si>
  <si>
    <t>CART_ARR_MES_ANT</t>
  </si>
  <si>
    <t>CART_MES_ATUAL</t>
  </si>
  <si>
    <t>SALDO_PREV_PCS</t>
  </si>
  <si>
    <t>EST_TRANS_PCS</t>
  </si>
  <si>
    <t>SALDO_PREV_PROX_MES_PCS</t>
  </si>
  <si>
    <t>LIMIT_PCS</t>
  </si>
  <si>
    <t>ORI_TOT_PCS</t>
  </si>
  <si>
    <t>TRIANG_TOT_PCS</t>
  </si>
  <si>
    <t>ID_ULT_PRIORI</t>
  </si>
  <si>
    <t>LTP_EST_SEG_PCS</t>
  </si>
  <si>
    <t>LTP_EST_INI_PCS</t>
  </si>
  <si>
    <t>LTP_CART_ARR_MES_ANT</t>
  </si>
  <si>
    <t>LTP_CART_MES_ATUAL</t>
  </si>
  <si>
    <t>LTP_SALDO_PREV_PCS</t>
  </si>
  <si>
    <t>LTP_EST_TRANS_PCS</t>
  </si>
  <si>
    <t>LTP_SALDO_PREV_PROX_MES_PCS</t>
  </si>
  <si>
    <t>LTP_COMP_NEC_PCS</t>
  </si>
  <si>
    <t>ID_RECURSO</t>
  </si>
  <si>
    <t>ID_FERRAMENTA</t>
  </si>
  <si>
    <t>HOR_REC</t>
  </si>
  <si>
    <t>HOR_FER</t>
  </si>
  <si>
    <t>COMP</t>
  </si>
  <si>
    <t>NEC_PCS</t>
  </si>
  <si>
    <t>NEC_HR</t>
  </si>
  <si>
    <t>REC_CAP_VAR_HR</t>
  </si>
  <si>
    <t>FER_CAP_VAR_HR</t>
  </si>
  <si>
    <t>ROT_CAP_VAR_HR</t>
  </si>
  <si>
    <t>REC_HR_SALDO</t>
  </si>
  <si>
    <t>FER_HR_SALDO</t>
  </si>
  <si>
    <t>CAP_PROD_PCS</t>
  </si>
  <si>
    <t>NEC_ATEND_PCS</t>
  </si>
  <si>
    <t>NEC_ATEND_HR</t>
  </si>
  <si>
    <t>NEC_NAO_ATEND_PCS</t>
  </si>
  <si>
    <t>NEC_NAO_ATEND_HR</t>
  </si>
  <si>
    <t>NEC_ESTOURO_PCS</t>
  </si>
  <si>
    <t>NEC_ESTOURO_HR</t>
  </si>
  <si>
    <t>NEC_ARRASTE_PCS</t>
  </si>
  <si>
    <t>NEC_N_ATEND_PCS_REC</t>
  </si>
  <si>
    <t>NEC_N_ATEND_PCS_FER</t>
  </si>
  <si>
    <t>NEC_ESTOURO_PCS_REC</t>
  </si>
  <si>
    <t>NEC_ESTOURO_HR_REC</t>
  </si>
  <si>
    <t>NEC_ESTOURO_PCS_FER</t>
  </si>
  <si>
    <t>NEC_ESTOURO_HR_FER</t>
  </si>
  <si>
    <t>%_OCUP_REC</t>
  </si>
  <si>
    <t>%_OCUP_FER</t>
  </si>
  <si>
    <t>HR_OCUP_FER</t>
  </si>
  <si>
    <t>HR_OCUP_REC</t>
  </si>
  <si>
    <t>ET_PCS</t>
  </si>
  <si>
    <t>C_ARR_PCS</t>
  </si>
  <si>
    <t>C_AT_PCS</t>
  </si>
  <si>
    <t>PV_PCS</t>
  </si>
  <si>
    <t>PV_PROX_PCS</t>
  </si>
  <si>
    <t>ES_PCS</t>
  </si>
  <si>
    <t>DIF_LM_PCS</t>
  </si>
  <si>
    <t>DIF_EMB_PCS</t>
  </si>
  <si>
    <t>C_ARR_HR</t>
  </si>
  <si>
    <t>C_AT_HR</t>
  </si>
  <si>
    <t>PV_HR</t>
  </si>
  <si>
    <t>PV_PROX_HR</t>
  </si>
  <si>
    <t>ES_HR</t>
  </si>
  <si>
    <t>DIF_LM_HR</t>
  </si>
  <si>
    <t>DIF_EMB_HR</t>
  </si>
  <si>
    <t>RASTREABILIDADE</t>
  </si>
  <si>
    <t>PCS_HORA_PI</t>
  </si>
  <si>
    <t>COD_INSUMO</t>
  </si>
  <si>
    <t>FATOR_ESTRUTURAL</t>
  </si>
  <si>
    <t>NEC_ATEND_PCS_PI</t>
  </si>
  <si>
    <t>NEC_ATEND_HR_PI</t>
  </si>
  <si>
    <t>MODO_CORTE</t>
  </si>
  <si>
    <t>Matriz</t>
  </si>
  <si>
    <t>SIM</t>
  </si>
  <si>
    <t>0561</t>
  </si>
  <si>
    <t>REGISTRO ESF.SOLD.C/ UNIAO - 20MM</t>
  </si>
  <si>
    <t>REGISTROS KRONA</t>
  </si>
  <si>
    <t>CONEXOES KRONA</t>
  </si>
  <si>
    <t>PA</t>
  </si>
  <si>
    <t>0561A|MAT</t>
  </si>
  <si>
    <t>00618</t>
  </si>
  <si>
    <t>IN.PVC.02B.210T.H.P.</t>
  </si>
  <si>
    <t>MAR26|MATRIZ|0561</t>
  </si>
  <si>
    <t>FEV26|MATRIZ|0561</t>
  </si>
  <si>
    <t>MAR26|MATRIZ|00618</t>
  </si>
  <si>
    <t>MAR26|MATRIZ|0561A|MAT</t>
  </si>
  <si>
    <t>NAO</t>
  </si>
  <si>
    <t>PI</t>
  </si>
  <si>
    <t>0562</t>
  </si>
  <si>
    <t>REGISTRO ESF.SOLD.C/ UNIAO - 25MM</t>
  </si>
  <si>
    <t>0562A|MAT</t>
  </si>
  <si>
    <t>MAR26|MATRIZ|0562</t>
  </si>
  <si>
    <t>FEV26|MATRIZ|0562</t>
  </si>
  <si>
    <t>MAR26|MATRIZ|0562A|MAT</t>
  </si>
  <si>
    <t>0563</t>
  </si>
  <si>
    <t>REGISTRO ESF.SOLD.C/ UNIAO - 32MM</t>
  </si>
  <si>
    <t>0563A|MAT</t>
  </si>
  <si>
    <t>MAR26|MATRIZ|0563</t>
  </si>
  <si>
    <t>FEV26|MATRIZ|0563</t>
  </si>
  <si>
    <t>MAR26|MATRIZ|0563A|MAT</t>
  </si>
  <si>
    <t>0564</t>
  </si>
  <si>
    <t>REGISTRO ESF.SOLD.C/ UNIAO - 40MM</t>
  </si>
  <si>
    <t>0564A|MAT</t>
  </si>
  <si>
    <t>MAR26|MATRIZ|0564</t>
  </si>
  <si>
    <t>FEV26|MATRIZ|0564</t>
  </si>
  <si>
    <t>MAR26|MATRIZ|0564A|MAT</t>
  </si>
  <si>
    <t>0570</t>
  </si>
  <si>
    <t>REGISTRO ESF.ROSC.C/ UNIAO - 1/2</t>
  </si>
  <si>
    <t>MAR26|MATRIZ|0570</t>
  </si>
  <si>
    <t>FEV26|MATRIZ|0570</t>
  </si>
  <si>
    <t>0571</t>
  </si>
  <si>
    <t>REGISTRO ESF.ROSC.C/ UNIAO - 3/4</t>
  </si>
  <si>
    <t>MAR26|MATRIZ|0571</t>
  </si>
  <si>
    <t>FEV26|MATRIZ|0571</t>
  </si>
  <si>
    <t>0572</t>
  </si>
  <si>
    <t>REGISTRO ESF.ROSC.C/ UNIAO - 1</t>
  </si>
  <si>
    <t>MAR26|MATRIZ|0572</t>
  </si>
  <si>
    <t>FEV26|MATRIZ|0572</t>
  </si>
  <si>
    <t>0573</t>
  </si>
  <si>
    <t>REGISTRO ESF.ROSC.C/ UNIAO - 1 1/4</t>
  </si>
  <si>
    <t>MAR26|MATRIZ|0573</t>
  </si>
  <si>
    <t>FEV26|MATRIZ|0573</t>
  </si>
  <si>
    <t>1145</t>
  </si>
  <si>
    <t>CURVA 90 R.CURTO P/ELETRODUTO ROSC. 1.1/4</t>
  </si>
  <si>
    <t>CONEXOES ELETRODUTO</t>
  </si>
  <si>
    <t>0228A|MAT</t>
  </si>
  <si>
    <t>MAR26|MATRIZ|1145</t>
  </si>
  <si>
    <t>FEV26|MATRIZ|1145</t>
  </si>
  <si>
    <t>MAR26|MATRIZ|0228A|MAT</t>
  </si>
  <si>
    <t>1146</t>
  </si>
  <si>
    <t>CURVA 90° CURTA ELETRODUTO ROSCAVEL 1.1/2</t>
  </si>
  <si>
    <t>0229A|MAT</t>
  </si>
  <si>
    <t>MAR26|MATRIZ|1146</t>
  </si>
  <si>
    <t>FEV26|MATRIZ|1146</t>
  </si>
  <si>
    <t>MAR26|MATRIZ|0229A|MAT</t>
  </si>
  <si>
    <t>1186</t>
  </si>
  <si>
    <t>LUVA P/ELETRODUTO ROSC. 2</t>
  </si>
  <si>
    <t>1186A|MAT</t>
  </si>
  <si>
    <t>MAR26|MATRIZ|1186</t>
  </si>
  <si>
    <t>FEV26|MATRIZ|1186</t>
  </si>
  <si>
    <t>MAR26|MATRIZ|1186A|MAT</t>
  </si>
  <si>
    <t>1719</t>
  </si>
  <si>
    <t>UNIAO SOLDAVEL 25MM  AZUL</t>
  </si>
  <si>
    <t>PRODUTOS EXPORTACAO</t>
  </si>
  <si>
    <t>0475A|MAT</t>
  </si>
  <si>
    <t>MAR26|MATRIZ|1719</t>
  </si>
  <si>
    <t>FEV26|MATRIZ|1719</t>
  </si>
  <si>
    <t>MAR26|MATRIZ|0475A|MAT</t>
  </si>
  <si>
    <t>1961</t>
  </si>
  <si>
    <t>REGISTRO ESF.SOLD.C/ UNIAO - 20MM CINZA EXP</t>
  </si>
  <si>
    <t>MAR26|MATRIZ|1961</t>
  </si>
  <si>
    <t>FEV26|MATRIZ|1961</t>
  </si>
  <si>
    <t>1962</t>
  </si>
  <si>
    <t>REGISTRO ESF.SOLD.C/ UNIAO - 25MM CINZA EXP</t>
  </si>
  <si>
    <t>MAR26|MATRIZ|1962</t>
  </si>
  <si>
    <t>FEV26|MATRIZ|1962</t>
  </si>
  <si>
    <t>1963</t>
  </si>
  <si>
    <t>REGISTRO ESF.SOLD.C/ UNIAO - 32MM CINZA EXP</t>
  </si>
  <si>
    <t>MAR26|MATRIZ|1963</t>
  </si>
  <si>
    <t>FEV26|MATRIZ|1963</t>
  </si>
  <si>
    <t>1970</t>
  </si>
  <si>
    <t>REGISTRO ESF.ROSC.C/ UNIAO - 1/2 CINZA EXP</t>
  </si>
  <si>
    <t>MAR26|MATRIZ|1970</t>
  </si>
  <si>
    <t>FEV26|MATRIZ|1970</t>
  </si>
  <si>
    <t>1971</t>
  </si>
  <si>
    <t>REGISTRO ESF.ROSC.C/ UNIAO - 3/4 CINZA EXP</t>
  </si>
  <si>
    <t>MAR26|MATRIZ|1971</t>
  </si>
  <si>
    <t>FEV26|MATRIZ|1971</t>
  </si>
  <si>
    <t>1972</t>
  </si>
  <si>
    <t>REGISTRO ESF.ROSC.C/ UNIAO - 1 CINZA EXP</t>
  </si>
  <si>
    <t>MAR26|MATRIZ|1972</t>
  </si>
  <si>
    <t>FEV26|MATRIZ|1972</t>
  </si>
  <si>
    <t>Nordeste</t>
  </si>
  <si>
    <t>MAR26|NORDESTE|0561</t>
  </si>
  <si>
    <t>FEV26|NORDESTE|0561</t>
  </si>
  <si>
    <t>MAR26|NORDESTE|0562</t>
  </si>
  <si>
    <t>FEV26|NORDESTE|0562</t>
  </si>
  <si>
    <t>MAR26|NORDESTE|0563</t>
  </si>
  <si>
    <t>FEV26|NORDESTE|0563</t>
  </si>
  <si>
    <t>MAR26|NORDESTE|0564</t>
  </si>
  <si>
    <t>FEV26|NORDESTE|0564</t>
  </si>
  <si>
    <t>MAR26|NORDESTE|0570</t>
  </si>
  <si>
    <t>FEV26|NORDESTE|0570</t>
  </si>
  <si>
    <t>MAR26|NORDESTE|0571</t>
  </si>
  <si>
    <t>FEV26|NORDESTE|0571</t>
  </si>
  <si>
    <t>MAR26|NORDESTE|0572</t>
  </si>
  <si>
    <t>FEV26|NORDESTE|0572</t>
  </si>
  <si>
    <t>MAR26|NORDESTE|0573</t>
  </si>
  <si>
    <t>FEV26|NORDESTE|0573</t>
  </si>
  <si>
    <t>MAR26|NORDESTE|1145</t>
  </si>
  <si>
    <t>FEV26|NORDESTE|1145</t>
  </si>
  <si>
    <t>MAR26|NORDESTE|1146</t>
  </si>
  <si>
    <t>FEV26|NORDESTE|1146</t>
  </si>
  <si>
    <t>MAR26|NORDESTE|1186</t>
  </si>
  <si>
    <t>FEV26|NORDESTE|1186</t>
  </si>
  <si>
    <t>MAR26|NORDESTE|1719</t>
  </si>
  <si>
    <t>FEV26|NORDESTE|1719</t>
  </si>
  <si>
    <t>MAR26|NORDESTE|1963</t>
  </si>
  <si>
    <t>FEV26|NORDESTE|1963</t>
  </si>
  <si>
    <t>MAR26|NORDESTE|1971</t>
  </si>
  <si>
    <t>FEV26|NORDESTE|1971</t>
  </si>
  <si>
    <t>1151PI</t>
  </si>
  <si>
    <t>CURVA 90 R.LONGO P/ELETRODUTO ROSC. 1/2 CE</t>
  </si>
  <si>
    <t>1151A|MAT</t>
  </si>
  <si>
    <t>MAR26|MATRIZ|1151PI</t>
  </si>
  <si>
    <t>FEV26|MATRIZ|1151PI</t>
  </si>
  <si>
    <t>MAR26|MATRIZ|1151A|MAT</t>
  </si>
  <si>
    <t>1152PI</t>
  </si>
  <si>
    <t>CURVA 90 R.LONGO P/ELETRODUTO ROSC. 3/4 CE</t>
  </si>
  <si>
    <t>1152A|MAT</t>
  </si>
  <si>
    <t>MAR26|MATRIZ|1152PI</t>
  </si>
  <si>
    <t>FEV26|MATRIZ|1152PI</t>
  </si>
  <si>
    <t>MAR26|MATRIZ|1152A|MAT</t>
  </si>
  <si>
    <t>1153PI</t>
  </si>
  <si>
    <t>CURVA 90 R.LONGO P/ELETRODUTO ROSC. 1 CE</t>
  </si>
  <si>
    <t>1220A|MAT</t>
  </si>
  <si>
    <t>MAR26|MATRIZ|1153PI</t>
  </si>
  <si>
    <t>FEV26|MATRIZ|1153PI</t>
  </si>
  <si>
    <t>MAR26|MATRIZ|1220A|MAT</t>
  </si>
  <si>
    <t>1184PI</t>
  </si>
  <si>
    <t>LUVA P/ELETRODUTO ROSC. 1.1/4 CE</t>
  </si>
  <si>
    <t>1184A|MAT</t>
  </si>
  <si>
    <t>MAR26|MATRIZ|1184PI</t>
  </si>
  <si>
    <t>FEV26|MATRIZ|1184PI</t>
  </si>
  <si>
    <t>MAR26|MATRIZ|1184A|MAT</t>
  </si>
  <si>
    <t>1185PI</t>
  </si>
  <si>
    <t>LUVA P/ELETRODUTO ROSC. 1.1/2 CE</t>
  </si>
  <si>
    <t>1185A|MAT</t>
  </si>
  <si>
    <t>MAR26|MATRIZ|1185PI</t>
  </si>
  <si>
    <t>FEV26|MATRIZ|1185PI</t>
  </si>
  <si>
    <t>MAR26|MATRIZ|1185A|MAT</t>
  </si>
  <si>
    <t>1218PI</t>
  </si>
  <si>
    <t>CURVA 90 P/ELETRODUTO SOLD.20MM CE</t>
  </si>
  <si>
    <t>1218A|MAT</t>
  </si>
  <si>
    <t>MAR26|MATRIZ|1218PI</t>
  </si>
  <si>
    <t>FEV26|MATRIZ|1218PI</t>
  </si>
  <si>
    <t>MAR26|MATRIZ|1218A|MAT</t>
  </si>
  <si>
    <t>1219PI</t>
  </si>
  <si>
    <t>CURVA 90 P/ELETRODUTO SOLD.25MM CE</t>
  </si>
  <si>
    <t>MAR26|MATRIZ|1219PI</t>
  </si>
  <si>
    <t>FEV26|MATRIZ|1219PI</t>
  </si>
  <si>
    <t>1220PI</t>
  </si>
  <si>
    <t>CURVA 90 P/ELETRODUTO SOLD.32MM CE</t>
  </si>
  <si>
    <t>MAR26|MATRIZ|1220PI</t>
  </si>
  <si>
    <t>FEV26|MATRIZ|1220PI</t>
  </si>
  <si>
    <t>1151</t>
  </si>
  <si>
    <t>CURVA 90 R.LONGO P/ELETRODUTO ROSC. 1/2</t>
  </si>
  <si>
    <t>1151CE|MAT</t>
  </si>
  <si>
    <t>67014</t>
  </si>
  <si>
    <t>CENTRAL DE EMBALAGEM</t>
  </si>
  <si>
    <t>MAR26|MATRIZ|1151</t>
  </si>
  <si>
    <t>FEV26|MATRIZ|1151</t>
  </si>
  <si>
    <t>MAR26|MATRIZ|67014</t>
  </si>
  <si>
    <t>MAR26|MATRIZ|1151CE|MAT</t>
  </si>
  <si>
    <t>1151PI|Matriz</t>
  </si>
  <si>
    <t>67022</t>
  </si>
  <si>
    <t>MAR26|MATRIZ|67022</t>
  </si>
  <si>
    <t>MAR26|NORDESTE|1151</t>
  </si>
  <si>
    <t>FEV26|NORDESTE|1151</t>
  </si>
  <si>
    <t>1152</t>
  </si>
  <si>
    <t>CURVA 90 R.LONGO P/ELETRODUTO ROSC. 3/4</t>
  </si>
  <si>
    <t>1152CE|MAT</t>
  </si>
  <si>
    <t>MAR26|MATRIZ|1152</t>
  </si>
  <si>
    <t>FEV26|MATRIZ|1152</t>
  </si>
  <si>
    <t>MAR26|MATRIZ|1152CE|MAT</t>
  </si>
  <si>
    <t>1152PI|Matriz</t>
  </si>
  <si>
    <t>MAR26|NORDESTE|1152</t>
  </si>
  <si>
    <t>FEV26|NORDESTE|1152</t>
  </si>
  <si>
    <t>1153</t>
  </si>
  <si>
    <t>CURVA 90 R.LONGO P/ELETRODUTO ROSC. 1</t>
  </si>
  <si>
    <t>1153CE|MAT</t>
  </si>
  <si>
    <t>MAR26|MATRIZ|1153</t>
  </si>
  <si>
    <t>FEV26|MATRIZ|1153</t>
  </si>
  <si>
    <t>MAR26|MATRIZ|1153CE|MAT</t>
  </si>
  <si>
    <t>1153PI|Matriz</t>
  </si>
  <si>
    <t>MAR26|NORDESTE|1153</t>
  </si>
  <si>
    <t>FEV26|NORDESTE|1153</t>
  </si>
  <si>
    <t>1184</t>
  </si>
  <si>
    <t>LUVA P/ELETRODUTO ROSC. 1.1/4</t>
  </si>
  <si>
    <t>1184CE|MAT</t>
  </si>
  <si>
    <t>MAR26|MATRIZ|1184</t>
  </si>
  <si>
    <t>FEV26|MATRIZ|1184</t>
  </si>
  <si>
    <t>MAR26|MATRIZ|1184CE|MAT</t>
  </si>
  <si>
    <t>1184PI|Matriz</t>
  </si>
  <si>
    <t>MAR26|NORDESTE|1184</t>
  </si>
  <si>
    <t>FEV26|NORDESTE|1184</t>
  </si>
  <si>
    <t>1185</t>
  </si>
  <si>
    <t>LUVA P/ELETRODUTO ROSC. 1.1/2</t>
  </si>
  <si>
    <t>1185CE|MAT</t>
  </si>
  <si>
    <t>MAR26|MATRIZ|1185</t>
  </si>
  <si>
    <t>FEV26|MATRIZ|1185</t>
  </si>
  <si>
    <t>MAR26|MATRIZ|1185CE|MAT</t>
  </si>
  <si>
    <t>1185PI|Matriz</t>
  </si>
  <si>
    <t>185CE|MAT</t>
  </si>
  <si>
    <t>MAR26|MATRIZ|185CE|MAT</t>
  </si>
  <si>
    <t>MAR26|NORDESTE|1185</t>
  </si>
  <si>
    <t>FEV26|NORDESTE|1185</t>
  </si>
  <si>
    <t>1218</t>
  </si>
  <si>
    <t>CURVA 90 P/ELETRODUTO SOLD.20MM</t>
  </si>
  <si>
    <t>1218CE|MAT</t>
  </si>
  <si>
    <t>MAR26|MATRIZ|1218</t>
  </si>
  <si>
    <t>FEV26|MATRIZ|1218</t>
  </si>
  <si>
    <t>MAR26|MATRIZ|1218CE|MAT</t>
  </si>
  <si>
    <t>1218PI|Matriz</t>
  </si>
  <si>
    <t>MAR26|NORDESTE|1218</t>
  </si>
  <si>
    <t>FEV26|NORDESTE|1218</t>
  </si>
  <si>
    <t>1219</t>
  </si>
  <si>
    <t>CURVA 90 P/ELETRODUTO SOLD.25MM</t>
  </si>
  <si>
    <t>1219CE|MAT</t>
  </si>
  <si>
    <t>MAR26|MATRIZ|1219</t>
  </si>
  <si>
    <t>FEV26|MATRIZ|1219</t>
  </si>
  <si>
    <t>MAR26|MATRIZ|1219CE|MAT</t>
  </si>
  <si>
    <t>1219PI|Matriz</t>
  </si>
  <si>
    <t>MAR26|NORDESTE|1219</t>
  </si>
  <si>
    <t>FEV26|NORDESTE|1219</t>
  </si>
  <si>
    <t>1220</t>
  </si>
  <si>
    <t>CURVA 90 P/ELETRODUTO SOLD.32MM</t>
  </si>
  <si>
    <t>1220CE|MAT</t>
  </si>
  <si>
    <t>MAR26|MATRIZ|1220</t>
  </si>
  <si>
    <t>FEV26|MATRIZ|1220</t>
  </si>
  <si>
    <t>MAR26|MATRIZ|1220CE|MAT</t>
  </si>
  <si>
    <t>1220PI|Matriz</t>
  </si>
  <si>
    <t>MAR26|NORDESTE|1220</t>
  </si>
  <si>
    <t>FEV26|NORDESTE|1220</t>
  </si>
  <si>
    <t>RATEIO_REG_N_PV_PROX</t>
  </si>
  <si>
    <t>SALDO CORTE</t>
  </si>
  <si>
    <t>CORTE_HR</t>
  </si>
  <si>
    <t>SALDO_HR</t>
  </si>
  <si>
    <t>SALDO_PC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</si>
</sst>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Y73"/>
  <sheetViews>
    <sheetView tabSelected="1" topLeftCell="CI1" workbookViewId="0">
      <selection activeCell="CT26" sqref="CT26"/>
    </sheetView>
  </sheetViews>
  <sheetFormatPr defaultRowHeight="15" x14ac:dyDescent="0.25"/>
  <cols>
    <col min="78" max="78" width="11" bestFit="1" customWidth="1"/>
    <col min="79" max="79" width="9.7109375" bestFit="1" customWidth="1"/>
    <col min="80" max="80" width="7.7109375" bestFit="1" customWidth="1"/>
    <col min="81" max="81" width="13.7109375" bestFit="1" customWidth="1"/>
    <col min="82" max="82" width="7.28515625" bestFit="1" customWidth="1"/>
    <col min="83" max="83" width="11.85546875" bestFit="1" customWidth="1"/>
    <col min="84" max="84" width="13.28515625" bestFit="1" customWidth="1"/>
    <col min="85" max="85" width="10.140625" bestFit="1" customWidth="1"/>
    <col min="86" max="86" width="8.85546875" bestFit="1" customWidth="1"/>
    <col min="87" max="87" width="12" bestFit="1" customWidth="1"/>
    <col min="88" max="88" width="17.28515625" bestFit="1" customWidth="1"/>
    <col min="89" max="89" width="12" bestFit="1" customWidth="1"/>
    <col min="90" max="90" width="11" bestFit="1" customWidth="1"/>
    <col min="91" max="91" width="12.28515625" bestFit="1" customWidth="1"/>
    <col min="92" max="92" width="17" bestFit="1" customWidth="1"/>
    <col min="93" max="93" width="13.28515625" bestFit="1" customWidth="1"/>
    <col min="94" max="94" width="13.7109375" bestFit="1" customWidth="1"/>
    <col min="95" max="95" width="19.42578125" bestFit="1" customWidth="1"/>
    <col min="96" max="96" width="18.85546875" bestFit="1" customWidth="1"/>
    <col min="97" max="97" width="18" bestFit="1" customWidth="1"/>
    <col min="98" max="98" width="13.85546875" bestFit="1" customWidth="1"/>
    <col min="99" max="99" width="13.85546875" customWidth="1"/>
    <col min="100" max="100" width="24.140625" bestFit="1" customWidth="1"/>
    <col min="101" max="102" width="12" bestFit="1" customWidth="1"/>
    <col min="103" max="103" width="17.7109375" style="9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4" t="s">
        <v>84</v>
      </c>
      <c r="CH1" s="4" t="s">
        <v>85</v>
      </c>
      <c r="CI1" s="4" t="s">
        <v>86</v>
      </c>
      <c r="CJ1" s="5" t="s">
        <v>87</v>
      </c>
      <c r="CK1" s="4" t="s">
        <v>88</v>
      </c>
      <c r="CL1" s="4" t="s">
        <v>89</v>
      </c>
      <c r="CM1" s="4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2" t="s">
        <v>351</v>
      </c>
      <c r="CV1" s="7" t="s">
        <v>350</v>
      </c>
      <c r="CW1" s="6" t="s">
        <v>352</v>
      </c>
      <c r="CX1" s="6" t="s">
        <v>353</v>
      </c>
      <c r="CY1" s="6" t="s">
        <v>354</v>
      </c>
    </row>
    <row r="2" spans="1:103" hidden="1" x14ac:dyDescent="0.25">
      <c r="A2" s="2">
        <v>46082</v>
      </c>
      <c r="B2" t="s">
        <v>98</v>
      </c>
      <c r="C2" t="s">
        <v>98</v>
      </c>
      <c r="D2" t="s">
        <v>99</v>
      </c>
      <c r="E2">
        <v>1</v>
      </c>
      <c r="F2">
        <v>1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>
        <v>2</v>
      </c>
      <c r="N2">
        <v>65</v>
      </c>
      <c r="O2">
        <v>110</v>
      </c>
      <c r="P2">
        <v>2</v>
      </c>
      <c r="Q2" t="s">
        <v>106</v>
      </c>
      <c r="R2" t="s">
        <v>107</v>
      </c>
      <c r="S2">
        <v>8.7999999999999995E-2</v>
      </c>
      <c r="T2">
        <v>3130</v>
      </c>
      <c r="U2">
        <v>10</v>
      </c>
      <c r="V2">
        <v>0</v>
      </c>
      <c r="W2">
        <v>817</v>
      </c>
      <c r="X2" t="s">
        <v>108</v>
      </c>
      <c r="Y2" t="s">
        <v>108</v>
      </c>
      <c r="Z2" t="s">
        <v>109</v>
      </c>
      <c r="AA2">
        <v>1327</v>
      </c>
      <c r="AB2">
        <v>1303</v>
      </c>
      <c r="AC2">
        <v>2084.8000000000002</v>
      </c>
      <c r="AD2">
        <v>0</v>
      </c>
      <c r="AE2">
        <v>720</v>
      </c>
      <c r="AF2">
        <v>607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108</v>
      </c>
      <c r="AM2">
        <v>1303</v>
      </c>
      <c r="AN2">
        <v>2084.8000000000002</v>
      </c>
      <c r="AO2">
        <v>0</v>
      </c>
      <c r="AP2">
        <v>720</v>
      </c>
      <c r="AQ2">
        <v>607</v>
      </c>
      <c r="AR2">
        <v>0</v>
      </c>
      <c r="AS2">
        <v>0</v>
      </c>
      <c r="AT2">
        <v>0</v>
      </c>
      <c r="AU2" t="s">
        <v>110</v>
      </c>
      <c r="AV2" t="s">
        <v>111</v>
      </c>
      <c r="AW2">
        <v>330.92</v>
      </c>
      <c r="AX2">
        <v>334.51</v>
      </c>
      <c r="AY2" t="s">
        <v>112</v>
      </c>
      <c r="AZ2">
        <v>550</v>
      </c>
      <c r="BA2">
        <v>5</v>
      </c>
      <c r="BB2">
        <v>330.92</v>
      </c>
      <c r="BC2">
        <v>334.51</v>
      </c>
      <c r="BD2">
        <v>330.92</v>
      </c>
      <c r="BE2">
        <v>325.92</v>
      </c>
      <c r="BF2">
        <v>329.51</v>
      </c>
      <c r="BG2">
        <v>36401.199999999997</v>
      </c>
      <c r="BH2">
        <v>550</v>
      </c>
      <c r="BI2">
        <v>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1.5109391998065999E-2</v>
      </c>
      <c r="BV2">
        <v>1.4947236256016259E-2</v>
      </c>
      <c r="BW2">
        <v>5</v>
      </c>
      <c r="BX2">
        <v>5</v>
      </c>
      <c r="BY2">
        <v>2084.8000000000002</v>
      </c>
      <c r="BZ2">
        <v>0</v>
      </c>
      <c r="CA2">
        <v>0</v>
      </c>
      <c r="CB2">
        <v>0</v>
      </c>
      <c r="CC2">
        <v>0</v>
      </c>
      <c r="CD2">
        <v>545.19999999999982</v>
      </c>
      <c r="CE2">
        <v>0</v>
      </c>
      <c r="CF2">
        <v>4.8000000000001819</v>
      </c>
      <c r="CG2">
        <v>0</v>
      </c>
      <c r="CH2">
        <v>0</v>
      </c>
      <c r="CI2">
        <v>0</v>
      </c>
      <c r="CJ2">
        <v>0</v>
      </c>
      <c r="CK2">
        <v>4.9563636363636343</v>
      </c>
      <c r="CL2">
        <v>0</v>
      </c>
      <c r="CM2">
        <v>4.3636363636365291E-2</v>
      </c>
      <c r="CT2" t="s">
        <v>113</v>
      </c>
      <c r="CY2"/>
    </row>
    <row r="3" spans="1:103" hidden="1" x14ac:dyDescent="0.25">
      <c r="A3" s="2">
        <v>46082</v>
      </c>
      <c r="B3" t="s">
        <v>98</v>
      </c>
      <c r="C3" t="s">
        <v>98</v>
      </c>
      <c r="D3" t="s">
        <v>99</v>
      </c>
      <c r="E3">
        <v>1</v>
      </c>
      <c r="F3">
        <v>2</v>
      </c>
      <c r="G3" t="s">
        <v>114</v>
      </c>
      <c r="H3" t="s">
        <v>115</v>
      </c>
      <c r="I3" t="s">
        <v>102</v>
      </c>
      <c r="J3" t="s">
        <v>103</v>
      </c>
      <c r="K3" t="s">
        <v>104</v>
      </c>
      <c r="L3" t="s">
        <v>116</v>
      </c>
      <c r="M3">
        <v>2</v>
      </c>
      <c r="N3">
        <v>70</v>
      </c>
      <c r="O3">
        <v>102</v>
      </c>
      <c r="P3">
        <v>2</v>
      </c>
      <c r="Q3" t="s">
        <v>106</v>
      </c>
      <c r="R3" t="s">
        <v>107</v>
      </c>
      <c r="S3">
        <v>0.14360000000000001</v>
      </c>
      <c r="T3">
        <v>6890</v>
      </c>
      <c r="U3">
        <v>10</v>
      </c>
      <c r="V3">
        <v>0</v>
      </c>
      <c r="W3">
        <v>819</v>
      </c>
      <c r="X3" t="s">
        <v>117</v>
      </c>
      <c r="Y3" t="s">
        <v>117</v>
      </c>
      <c r="Z3" t="s">
        <v>118</v>
      </c>
      <c r="AA3">
        <v>5108</v>
      </c>
      <c r="AB3">
        <v>1534</v>
      </c>
      <c r="AC3">
        <v>2454.4</v>
      </c>
      <c r="AD3">
        <v>0</v>
      </c>
      <c r="AE3">
        <v>1500</v>
      </c>
      <c r="AF3">
        <v>3608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117</v>
      </c>
      <c r="AM3">
        <v>1534</v>
      </c>
      <c r="AN3">
        <v>2454.4</v>
      </c>
      <c r="AO3">
        <v>0</v>
      </c>
      <c r="AP3">
        <v>1500</v>
      </c>
      <c r="AQ3">
        <v>3608</v>
      </c>
      <c r="AR3">
        <v>0</v>
      </c>
      <c r="AS3">
        <v>0</v>
      </c>
      <c r="AT3">
        <v>0</v>
      </c>
      <c r="AU3" t="s">
        <v>110</v>
      </c>
      <c r="AV3" t="s">
        <v>119</v>
      </c>
      <c r="AW3">
        <v>330.92</v>
      </c>
      <c r="AX3">
        <v>334.51</v>
      </c>
      <c r="AY3" t="s">
        <v>112</v>
      </c>
      <c r="AZ3">
        <v>0</v>
      </c>
      <c r="BA3">
        <v>0</v>
      </c>
      <c r="BB3">
        <v>325.92</v>
      </c>
      <c r="BC3">
        <v>293.43156862745099</v>
      </c>
      <c r="BD3">
        <v>293.43156862745099</v>
      </c>
      <c r="BE3">
        <v>325.92</v>
      </c>
      <c r="BF3">
        <v>293.43156862745099</v>
      </c>
      <c r="BG3">
        <v>29930.02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 t="s">
        <v>113</v>
      </c>
      <c r="CY3"/>
    </row>
    <row r="4" spans="1:103" hidden="1" x14ac:dyDescent="0.25">
      <c r="A4" s="2">
        <v>46082</v>
      </c>
      <c r="B4" t="s">
        <v>98</v>
      </c>
      <c r="C4" t="s">
        <v>98</v>
      </c>
      <c r="D4" t="s">
        <v>99</v>
      </c>
      <c r="E4">
        <v>1</v>
      </c>
      <c r="F4">
        <v>2</v>
      </c>
      <c r="G4" t="s">
        <v>120</v>
      </c>
      <c r="H4" t="s">
        <v>121</v>
      </c>
      <c r="I4" t="s">
        <v>102</v>
      </c>
      <c r="J4" t="s">
        <v>103</v>
      </c>
      <c r="K4" t="s">
        <v>104</v>
      </c>
      <c r="L4" t="s">
        <v>122</v>
      </c>
      <c r="M4">
        <v>1</v>
      </c>
      <c r="N4">
        <v>85</v>
      </c>
      <c r="O4">
        <v>42</v>
      </c>
      <c r="P4">
        <v>0.5</v>
      </c>
      <c r="Q4" t="s">
        <v>106</v>
      </c>
      <c r="R4" t="s">
        <v>107</v>
      </c>
      <c r="S4">
        <v>0.21160000000000001</v>
      </c>
      <c r="T4">
        <v>2680</v>
      </c>
      <c r="U4">
        <v>5</v>
      </c>
      <c r="V4">
        <v>0</v>
      </c>
      <c r="W4">
        <v>821</v>
      </c>
      <c r="X4" t="s">
        <v>123</v>
      </c>
      <c r="Y4" t="s">
        <v>123</v>
      </c>
      <c r="Z4" t="s">
        <v>124</v>
      </c>
      <c r="AA4">
        <v>2285</v>
      </c>
      <c r="AB4">
        <v>1371</v>
      </c>
      <c r="AC4">
        <v>2193.6</v>
      </c>
      <c r="AD4">
        <v>0</v>
      </c>
      <c r="AE4">
        <v>400</v>
      </c>
      <c r="AF4">
        <v>1885</v>
      </c>
      <c r="AG4">
        <v>0</v>
      </c>
      <c r="AH4">
        <v>0</v>
      </c>
      <c r="AI4">
        <v>0</v>
      </c>
      <c r="AJ4">
        <v>0</v>
      </c>
      <c r="AK4">
        <v>0</v>
      </c>
      <c r="AM4">
        <v>1371</v>
      </c>
      <c r="AN4">
        <v>2193.6</v>
      </c>
      <c r="AO4">
        <v>0</v>
      </c>
      <c r="AP4">
        <v>400</v>
      </c>
      <c r="AQ4">
        <v>1885</v>
      </c>
      <c r="AR4">
        <v>0</v>
      </c>
      <c r="AS4">
        <v>0</v>
      </c>
      <c r="AT4">
        <v>0</v>
      </c>
      <c r="AU4" t="s">
        <v>110</v>
      </c>
      <c r="AV4" t="s">
        <v>125</v>
      </c>
      <c r="AW4">
        <v>330.92</v>
      </c>
      <c r="AX4">
        <v>334.51</v>
      </c>
      <c r="AY4" t="s">
        <v>112</v>
      </c>
      <c r="AZ4">
        <v>0</v>
      </c>
      <c r="BA4">
        <v>0</v>
      </c>
      <c r="BB4">
        <v>325.92</v>
      </c>
      <c r="BC4">
        <v>299.62904761904758</v>
      </c>
      <c r="BD4">
        <v>299.62904761904758</v>
      </c>
      <c r="BE4">
        <v>325.92</v>
      </c>
      <c r="BF4">
        <v>299.62904761904758</v>
      </c>
      <c r="BG4">
        <v>12584.42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 t="s">
        <v>113</v>
      </c>
      <c r="CY4"/>
    </row>
    <row r="5" spans="1:103" hidden="1" x14ac:dyDescent="0.25">
      <c r="A5" s="2">
        <v>46082</v>
      </c>
      <c r="B5" t="s">
        <v>98</v>
      </c>
      <c r="C5" t="s">
        <v>98</v>
      </c>
      <c r="D5" t="s">
        <v>99</v>
      </c>
      <c r="E5">
        <v>1</v>
      </c>
      <c r="F5">
        <v>2</v>
      </c>
      <c r="G5" t="s">
        <v>126</v>
      </c>
      <c r="H5" t="s">
        <v>127</v>
      </c>
      <c r="I5" t="s">
        <v>102</v>
      </c>
      <c r="J5" t="s">
        <v>103</v>
      </c>
      <c r="K5" t="s">
        <v>104</v>
      </c>
      <c r="L5" t="s">
        <v>128</v>
      </c>
      <c r="M5">
        <v>1</v>
      </c>
      <c r="N5">
        <v>100</v>
      </c>
      <c r="O5">
        <v>36</v>
      </c>
      <c r="P5">
        <v>0.5</v>
      </c>
      <c r="Q5" t="s">
        <v>106</v>
      </c>
      <c r="R5" t="s">
        <v>107</v>
      </c>
      <c r="S5">
        <v>0.30559999999999998</v>
      </c>
      <c r="T5">
        <v>2405</v>
      </c>
      <c r="U5">
        <v>5</v>
      </c>
      <c r="V5">
        <v>0</v>
      </c>
      <c r="W5">
        <v>824</v>
      </c>
      <c r="X5" t="s">
        <v>129</v>
      </c>
      <c r="Y5" t="s">
        <v>129</v>
      </c>
      <c r="Z5" t="s">
        <v>130</v>
      </c>
      <c r="AA5">
        <v>916</v>
      </c>
      <c r="AB5">
        <v>470</v>
      </c>
      <c r="AC5">
        <v>752</v>
      </c>
      <c r="AD5">
        <v>0</v>
      </c>
      <c r="AE5">
        <v>140</v>
      </c>
      <c r="AF5">
        <v>776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129</v>
      </c>
      <c r="AM5">
        <v>470</v>
      </c>
      <c r="AN5">
        <v>752</v>
      </c>
      <c r="AO5">
        <v>0</v>
      </c>
      <c r="AP5">
        <v>140</v>
      </c>
      <c r="AQ5">
        <v>776</v>
      </c>
      <c r="AR5">
        <v>0</v>
      </c>
      <c r="AS5">
        <v>0</v>
      </c>
      <c r="AT5">
        <v>0</v>
      </c>
      <c r="AU5" t="s">
        <v>110</v>
      </c>
      <c r="AV5" t="s">
        <v>131</v>
      </c>
      <c r="AW5">
        <v>330.92</v>
      </c>
      <c r="AX5">
        <v>334.51</v>
      </c>
      <c r="AY5" t="s">
        <v>112</v>
      </c>
      <c r="AZ5">
        <v>0</v>
      </c>
      <c r="BA5">
        <v>0</v>
      </c>
      <c r="BB5">
        <v>325.92</v>
      </c>
      <c r="BC5">
        <v>316.87111111111108</v>
      </c>
      <c r="BD5">
        <v>316.87111111111108</v>
      </c>
      <c r="BE5">
        <v>325.92</v>
      </c>
      <c r="BF5">
        <v>316.87111111111108</v>
      </c>
      <c r="BG5">
        <v>11407.36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 t="s">
        <v>113</v>
      </c>
      <c r="CY5"/>
    </row>
    <row r="6" spans="1:103" hidden="1" x14ac:dyDescent="0.25">
      <c r="A6" s="2">
        <v>46082</v>
      </c>
      <c r="B6" t="s">
        <v>98</v>
      </c>
      <c r="C6" t="s">
        <v>98</v>
      </c>
      <c r="D6" t="s">
        <v>99</v>
      </c>
      <c r="E6">
        <v>1</v>
      </c>
      <c r="F6">
        <v>1</v>
      </c>
      <c r="G6" t="s">
        <v>132</v>
      </c>
      <c r="H6" t="s">
        <v>133</v>
      </c>
      <c r="I6" t="s">
        <v>102</v>
      </c>
      <c r="J6" t="s">
        <v>103</v>
      </c>
      <c r="K6" t="s">
        <v>104</v>
      </c>
      <c r="L6" t="s">
        <v>105</v>
      </c>
      <c r="M6">
        <v>2</v>
      </c>
      <c r="N6">
        <v>65</v>
      </c>
      <c r="O6">
        <v>110</v>
      </c>
      <c r="P6">
        <v>2</v>
      </c>
      <c r="Q6" t="s">
        <v>106</v>
      </c>
      <c r="R6" t="s">
        <v>107</v>
      </c>
      <c r="S6">
        <v>8.9499999999999996E-2</v>
      </c>
      <c r="T6">
        <v>2170</v>
      </c>
      <c r="U6">
        <v>10</v>
      </c>
      <c r="V6">
        <v>0</v>
      </c>
      <c r="W6">
        <v>829</v>
      </c>
      <c r="X6" t="s">
        <v>134</v>
      </c>
      <c r="Y6" t="s">
        <v>134</v>
      </c>
      <c r="Z6" t="s">
        <v>135</v>
      </c>
      <c r="AA6">
        <v>1627</v>
      </c>
      <c r="AB6">
        <v>958</v>
      </c>
      <c r="AC6">
        <v>1532.8</v>
      </c>
      <c r="AD6">
        <v>0</v>
      </c>
      <c r="AE6">
        <v>480</v>
      </c>
      <c r="AF6">
        <v>1147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134</v>
      </c>
      <c r="AM6">
        <v>958</v>
      </c>
      <c r="AN6">
        <v>1532.8</v>
      </c>
      <c r="AO6">
        <v>0</v>
      </c>
      <c r="AP6">
        <v>480</v>
      </c>
      <c r="AQ6">
        <v>1147</v>
      </c>
      <c r="AR6">
        <v>0</v>
      </c>
      <c r="AS6">
        <v>0</v>
      </c>
      <c r="AT6">
        <v>0</v>
      </c>
      <c r="AU6" t="s">
        <v>110</v>
      </c>
      <c r="AV6" t="s">
        <v>111</v>
      </c>
      <c r="AW6">
        <v>330.92</v>
      </c>
      <c r="AX6">
        <v>334.51</v>
      </c>
      <c r="AY6" t="s">
        <v>112</v>
      </c>
      <c r="AZ6">
        <v>1060</v>
      </c>
      <c r="BA6">
        <v>9.6363636363636367</v>
      </c>
      <c r="BB6">
        <v>325.92</v>
      </c>
      <c r="BC6">
        <v>329.51</v>
      </c>
      <c r="BD6">
        <v>325.92</v>
      </c>
      <c r="BE6">
        <v>316.28363636363639</v>
      </c>
      <c r="BF6">
        <v>319.87363636363642</v>
      </c>
      <c r="BG6">
        <v>35851.199999999997</v>
      </c>
      <c r="BH6">
        <v>1060</v>
      </c>
      <c r="BI6">
        <v>9.6363636363636367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2.911991912354538E-2</v>
      </c>
      <c r="BV6">
        <v>2.880740078432225E-2</v>
      </c>
      <c r="BW6">
        <v>9.6363636363636367</v>
      </c>
      <c r="BX6">
        <v>9.6363636363636367</v>
      </c>
      <c r="BY6">
        <v>1532.8</v>
      </c>
      <c r="BZ6">
        <v>0</v>
      </c>
      <c r="CA6">
        <v>0</v>
      </c>
      <c r="CB6">
        <v>94.199999999999818</v>
      </c>
      <c r="CC6">
        <v>0</v>
      </c>
      <c r="CD6">
        <v>958</v>
      </c>
      <c r="CE6">
        <v>0</v>
      </c>
      <c r="CF6">
        <v>7.8000000000001819</v>
      </c>
      <c r="CG6">
        <v>0</v>
      </c>
      <c r="CH6">
        <v>0</v>
      </c>
      <c r="CI6">
        <v>0.85636363636363466</v>
      </c>
      <c r="CJ6">
        <v>0</v>
      </c>
      <c r="CK6">
        <v>8.709090909090909</v>
      </c>
      <c r="CL6">
        <v>0</v>
      </c>
      <c r="CM6">
        <v>7.0909090909092559E-2</v>
      </c>
      <c r="CT6" t="s">
        <v>113</v>
      </c>
      <c r="CY6"/>
    </row>
    <row r="7" spans="1:103" hidden="1" x14ac:dyDescent="0.25">
      <c r="A7" s="2">
        <v>46082</v>
      </c>
      <c r="B7" t="s">
        <v>98</v>
      </c>
      <c r="C7" t="s">
        <v>98</v>
      </c>
      <c r="D7" t="s">
        <v>99</v>
      </c>
      <c r="E7">
        <v>1</v>
      </c>
      <c r="F7">
        <v>1</v>
      </c>
      <c r="G7" t="s">
        <v>136</v>
      </c>
      <c r="H7" t="s">
        <v>137</v>
      </c>
      <c r="I7" t="s">
        <v>102</v>
      </c>
      <c r="J7" t="s">
        <v>103</v>
      </c>
      <c r="K7" t="s">
        <v>104</v>
      </c>
      <c r="L7" t="s">
        <v>116</v>
      </c>
      <c r="M7">
        <v>2</v>
      </c>
      <c r="N7">
        <v>70</v>
      </c>
      <c r="O7">
        <v>102</v>
      </c>
      <c r="P7">
        <v>2</v>
      </c>
      <c r="Q7" t="s">
        <v>106</v>
      </c>
      <c r="R7" t="s">
        <v>107</v>
      </c>
      <c r="S7">
        <v>0.14860000000000001</v>
      </c>
      <c r="T7">
        <v>2070</v>
      </c>
      <c r="U7">
        <v>10</v>
      </c>
      <c r="V7">
        <v>0</v>
      </c>
      <c r="W7">
        <v>830</v>
      </c>
      <c r="X7" t="s">
        <v>138</v>
      </c>
      <c r="Y7" t="s">
        <v>138</v>
      </c>
      <c r="Z7" t="s">
        <v>139</v>
      </c>
      <c r="AA7">
        <v>1853</v>
      </c>
      <c r="AB7">
        <v>778</v>
      </c>
      <c r="AC7">
        <v>1244.8</v>
      </c>
      <c r="AD7">
        <v>0</v>
      </c>
      <c r="AE7">
        <v>750</v>
      </c>
      <c r="AF7">
        <v>1103</v>
      </c>
      <c r="AG7">
        <v>0</v>
      </c>
      <c r="AH7">
        <v>0</v>
      </c>
      <c r="AI7">
        <v>0</v>
      </c>
      <c r="AJ7">
        <v>0</v>
      </c>
      <c r="AK7">
        <v>0</v>
      </c>
      <c r="AM7">
        <v>778</v>
      </c>
      <c r="AN7">
        <v>1244.8</v>
      </c>
      <c r="AO7">
        <v>0</v>
      </c>
      <c r="AP7">
        <v>750</v>
      </c>
      <c r="AQ7">
        <v>1103</v>
      </c>
      <c r="AR7">
        <v>0</v>
      </c>
      <c r="AS7">
        <v>0</v>
      </c>
      <c r="AT7">
        <v>0</v>
      </c>
      <c r="AU7" t="s">
        <v>110</v>
      </c>
      <c r="AV7" t="s">
        <v>119</v>
      </c>
      <c r="AW7">
        <v>330.92</v>
      </c>
      <c r="AX7">
        <v>334.51</v>
      </c>
      <c r="AY7" t="s">
        <v>112</v>
      </c>
      <c r="AZ7">
        <v>1390</v>
      </c>
      <c r="BA7">
        <v>13.62745098039216</v>
      </c>
      <c r="BB7">
        <v>316.28363636363639</v>
      </c>
      <c r="BC7">
        <v>293.43156862745099</v>
      </c>
      <c r="BD7">
        <v>293.43156862745099</v>
      </c>
      <c r="BE7">
        <v>302.65618538324418</v>
      </c>
      <c r="BF7">
        <v>279.80411764705877</v>
      </c>
      <c r="BG7">
        <v>29930.02</v>
      </c>
      <c r="BH7">
        <v>1390</v>
      </c>
      <c r="BI7">
        <v>13.62745098039216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4.1180499759434767E-2</v>
      </c>
      <c r="BV7">
        <v>4.0738545874240403E-2</v>
      </c>
      <c r="BW7">
        <v>13.62745098039216</v>
      </c>
      <c r="BX7">
        <v>13.62745098039216</v>
      </c>
      <c r="BY7">
        <v>1244.8</v>
      </c>
      <c r="BZ7">
        <v>0</v>
      </c>
      <c r="CA7">
        <v>0</v>
      </c>
      <c r="CB7">
        <v>608.19999999999982</v>
      </c>
      <c r="CC7">
        <v>0</v>
      </c>
      <c r="CD7">
        <v>778</v>
      </c>
      <c r="CE7">
        <v>0</v>
      </c>
      <c r="CF7">
        <v>3.8000000000001819</v>
      </c>
      <c r="CG7">
        <v>0</v>
      </c>
      <c r="CH7">
        <v>0</v>
      </c>
      <c r="CI7">
        <v>5.962745098039214</v>
      </c>
      <c r="CJ7">
        <v>0</v>
      </c>
      <c r="CK7">
        <v>7.6274509803921573</v>
      </c>
      <c r="CL7">
        <v>0</v>
      </c>
      <c r="CM7">
        <v>3.7254901960786103E-2</v>
      </c>
      <c r="CT7" t="s">
        <v>113</v>
      </c>
      <c r="CY7"/>
    </row>
    <row r="8" spans="1:103" hidden="1" x14ac:dyDescent="0.25">
      <c r="A8" s="2">
        <v>46082</v>
      </c>
      <c r="B8" t="s">
        <v>98</v>
      </c>
      <c r="C8" t="s">
        <v>98</v>
      </c>
      <c r="D8" t="s">
        <v>99</v>
      </c>
      <c r="E8">
        <v>1</v>
      </c>
      <c r="F8">
        <v>1</v>
      </c>
      <c r="G8" t="s">
        <v>140</v>
      </c>
      <c r="H8" t="s">
        <v>141</v>
      </c>
      <c r="I8" t="s">
        <v>102</v>
      </c>
      <c r="J8" t="s">
        <v>103</v>
      </c>
      <c r="K8" t="s">
        <v>104</v>
      </c>
      <c r="L8" t="s">
        <v>122</v>
      </c>
      <c r="M8">
        <v>1</v>
      </c>
      <c r="N8">
        <v>85</v>
      </c>
      <c r="O8">
        <v>42</v>
      </c>
      <c r="P8">
        <v>0.5</v>
      </c>
      <c r="Q8" t="s">
        <v>106</v>
      </c>
      <c r="R8" t="s">
        <v>107</v>
      </c>
      <c r="S8">
        <v>0.2195</v>
      </c>
      <c r="T8">
        <v>905</v>
      </c>
      <c r="U8">
        <v>5</v>
      </c>
      <c r="V8">
        <v>0</v>
      </c>
      <c r="W8">
        <v>832</v>
      </c>
      <c r="X8" t="s">
        <v>142</v>
      </c>
      <c r="Y8" t="s">
        <v>142</v>
      </c>
      <c r="Z8" t="s">
        <v>143</v>
      </c>
      <c r="AA8">
        <v>1396</v>
      </c>
      <c r="AB8">
        <v>557</v>
      </c>
      <c r="AC8">
        <v>6734</v>
      </c>
      <c r="AD8">
        <v>0</v>
      </c>
      <c r="AE8">
        <v>100</v>
      </c>
      <c r="AF8">
        <v>1296</v>
      </c>
      <c r="AG8">
        <v>0</v>
      </c>
      <c r="AH8">
        <v>0</v>
      </c>
      <c r="AI8">
        <v>0</v>
      </c>
      <c r="AJ8">
        <v>0</v>
      </c>
      <c r="AK8">
        <v>0</v>
      </c>
      <c r="AM8">
        <v>557</v>
      </c>
      <c r="AN8">
        <v>6734</v>
      </c>
      <c r="AO8">
        <v>0</v>
      </c>
      <c r="AP8">
        <v>100</v>
      </c>
      <c r="AQ8">
        <v>1296</v>
      </c>
      <c r="AR8">
        <v>0</v>
      </c>
      <c r="AS8">
        <v>0</v>
      </c>
      <c r="AT8">
        <v>0</v>
      </c>
      <c r="AU8" t="s">
        <v>110</v>
      </c>
      <c r="AV8" t="s">
        <v>125</v>
      </c>
      <c r="AW8">
        <v>330.92</v>
      </c>
      <c r="AX8">
        <v>334.51</v>
      </c>
      <c r="AY8" t="s">
        <v>112</v>
      </c>
      <c r="AZ8">
        <v>0</v>
      </c>
      <c r="BA8">
        <v>0</v>
      </c>
      <c r="BB8">
        <v>302.65618538324418</v>
      </c>
      <c r="BC8">
        <v>299.62904761904758</v>
      </c>
      <c r="BD8">
        <v>299.62904761904758</v>
      </c>
      <c r="BE8">
        <v>302.65618538324418</v>
      </c>
      <c r="BF8">
        <v>299.62904761904758</v>
      </c>
      <c r="BG8">
        <v>12584.42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T8" t="s">
        <v>113</v>
      </c>
      <c r="CY8"/>
    </row>
    <row r="9" spans="1:103" hidden="1" x14ac:dyDescent="0.25">
      <c r="A9" s="2">
        <v>46082</v>
      </c>
      <c r="B9" t="s">
        <v>98</v>
      </c>
      <c r="C9" t="s">
        <v>98</v>
      </c>
      <c r="D9" t="s">
        <v>99</v>
      </c>
      <c r="E9">
        <v>1</v>
      </c>
      <c r="F9">
        <v>2</v>
      </c>
      <c r="G9" t="s">
        <v>144</v>
      </c>
      <c r="H9" t="s">
        <v>145</v>
      </c>
      <c r="I9" t="s">
        <v>102</v>
      </c>
      <c r="J9" t="s">
        <v>103</v>
      </c>
      <c r="K9" t="s">
        <v>104</v>
      </c>
      <c r="L9" t="s">
        <v>128</v>
      </c>
      <c r="M9">
        <v>1</v>
      </c>
      <c r="N9">
        <v>100</v>
      </c>
      <c r="O9">
        <v>36</v>
      </c>
      <c r="P9">
        <v>0.5</v>
      </c>
      <c r="Q9" t="s">
        <v>106</v>
      </c>
      <c r="R9" t="s">
        <v>107</v>
      </c>
      <c r="S9">
        <v>0.32390000000000002</v>
      </c>
      <c r="T9">
        <v>275</v>
      </c>
      <c r="U9">
        <v>5</v>
      </c>
      <c r="V9">
        <v>0</v>
      </c>
      <c r="W9">
        <v>835</v>
      </c>
      <c r="X9" t="s">
        <v>146</v>
      </c>
      <c r="Y9" t="s">
        <v>146</v>
      </c>
      <c r="Z9" t="s">
        <v>147</v>
      </c>
      <c r="AA9">
        <v>416</v>
      </c>
      <c r="AB9">
        <v>254</v>
      </c>
      <c r="AC9">
        <v>406.40000000000009</v>
      </c>
      <c r="AD9">
        <v>0</v>
      </c>
      <c r="AE9">
        <v>100</v>
      </c>
      <c r="AF9">
        <v>316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146</v>
      </c>
      <c r="AM9">
        <v>254</v>
      </c>
      <c r="AN9">
        <v>406.40000000000009</v>
      </c>
      <c r="AO9">
        <v>0</v>
      </c>
      <c r="AP9">
        <v>100</v>
      </c>
      <c r="AQ9">
        <v>316</v>
      </c>
      <c r="AR9">
        <v>0</v>
      </c>
      <c r="AS9">
        <v>0</v>
      </c>
      <c r="AT9">
        <v>0</v>
      </c>
      <c r="AU9" t="s">
        <v>110</v>
      </c>
      <c r="AV9" t="s">
        <v>131</v>
      </c>
      <c r="AW9">
        <v>330.92</v>
      </c>
      <c r="AX9">
        <v>334.51</v>
      </c>
      <c r="AY9" t="s">
        <v>112</v>
      </c>
      <c r="AZ9">
        <v>0</v>
      </c>
      <c r="BA9">
        <v>0</v>
      </c>
      <c r="BB9">
        <v>302.65618538324418</v>
      </c>
      <c r="BC9">
        <v>309.51</v>
      </c>
      <c r="BD9">
        <v>302.65618538324418</v>
      </c>
      <c r="BE9">
        <v>302.65618538324418</v>
      </c>
      <c r="BF9">
        <v>309.51</v>
      </c>
      <c r="BG9">
        <v>10895.62267379679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T9" t="s">
        <v>113</v>
      </c>
      <c r="CY9"/>
    </row>
    <row r="10" spans="1:103" hidden="1" x14ac:dyDescent="0.25">
      <c r="A10" s="2">
        <v>46082</v>
      </c>
      <c r="B10" t="s">
        <v>98</v>
      </c>
      <c r="C10" t="s">
        <v>98</v>
      </c>
      <c r="D10" t="s">
        <v>99</v>
      </c>
      <c r="E10">
        <v>1</v>
      </c>
      <c r="F10">
        <v>1</v>
      </c>
      <c r="G10" t="s">
        <v>148</v>
      </c>
      <c r="H10" t="s">
        <v>149</v>
      </c>
      <c r="I10" t="s">
        <v>150</v>
      </c>
      <c r="J10" t="s">
        <v>103</v>
      </c>
      <c r="K10" t="s">
        <v>104</v>
      </c>
      <c r="L10" t="s">
        <v>151</v>
      </c>
      <c r="M10">
        <v>2</v>
      </c>
      <c r="N10">
        <v>45</v>
      </c>
      <c r="O10">
        <v>160</v>
      </c>
      <c r="P10">
        <v>0.5</v>
      </c>
      <c r="Q10" t="s">
        <v>106</v>
      </c>
      <c r="R10" t="s">
        <v>107</v>
      </c>
      <c r="S10">
        <v>9.2700000000000005E-2</v>
      </c>
      <c r="T10">
        <v>3420</v>
      </c>
      <c r="U10">
        <v>6</v>
      </c>
      <c r="V10">
        <v>0</v>
      </c>
      <c r="W10">
        <v>1389</v>
      </c>
      <c r="X10" t="s">
        <v>152</v>
      </c>
      <c r="Y10" t="s">
        <v>152</v>
      </c>
      <c r="Z10" t="s">
        <v>153</v>
      </c>
      <c r="AA10">
        <v>369</v>
      </c>
      <c r="AB10">
        <v>3194</v>
      </c>
      <c r="AC10">
        <v>5110.4000000000005</v>
      </c>
      <c r="AD10">
        <v>0</v>
      </c>
      <c r="AE10">
        <v>0</v>
      </c>
      <c r="AF10">
        <v>369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3194</v>
      </c>
      <c r="AN10">
        <v>5110.4000000000005</v>
      </c>
      <c r="AO10">
        <v>0</v>
      </c>
      <c r="AP10">
        <v>0</v>
      </c>
      <c r="AQ10">
        <v>369</v>
      </c>
      <c r="AR10">
        <v>0</v>
      </c>
      <c r="AS10">
        <v>0</v>
      </c>
      <c r="AT10">
        <v>0</v>
      </c>
      <c r="AU10" t="s">
        <v>110</v>
      </c>
      <c r="AV10" t="s">
        <v>154</v>
      </c>
      <c r="AW10">
        <v>330.92</v>
      </c>
      <c r="AX10">
        <v>334.51</v>
      </c>
      <c r="AY10" t="s">
        <v>112</v>
      </c>
      <c r="AZ10">
        <v>0</v>
      </c>
      <c r="BA10">
        <v>0</v>
      </c>
      <c r="BB10">
        <v>302.65618538324418</v>
      </c>
      <c r="BC10">
        <v>334.06</v>
      </c>
      <c r="BD10">
        <v>302.65618538324418</v>
      </c>
      <c r="BE10">
        <v>302.65618538324418</v>
      </c>
      <c r="BF10">
        <v>334.06</v>
      </c>
      <c r="BG10">
        <v>48424.989661319079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T10" t="s">
        <v>113</v>
      </c>
      <c r="CY10"/>
    </row>
    <row r="11" spans="1:103" hidden="1" x14ac:dyDescent="0.25">
      <c r="A11" s="2">
        <v>46082</v>
      </c>
      <c r="B11" t="s">
        <v>98</v>
      </c>
      <c r="C11" t="s">
        <v>98</v>
      </c>
      <c r="D11" t="s">
        <v>99</v>
      </c>
      <c r="E11">
        <v>1</v>
      </c>
      <c r="F11">
        <v>2</v>
      </c>
      <c r="G11" t="s">
        <v>155</v>
      </c>
      <c r="H11" t="s">
        <v>156</v>
      </c>
      <c r="I11" t="s">
        <v>150</v>
      </c>
      <c r="J11" t="s">
        <v>103</v>
      </c>
      <c r="K11" t="s">
        <v>104</v>
      </c>
      <c r="L11" t="s">
        <v>157</v>
      </c>
      <c r="M11">
        <v>2</v>
      </c>
      <c r="N11">
        <v>60</v>
      </c>
      <c r="O11">
        <v>120</v>
      </c>
      <c r="P11">
        <v>0.5</v>
      </c>
      <c r="Q11" t="s">
        <v>106</v>
      </c>
      <c r="R11" t="s">
        <v>107</v>
      </c>
      <c r="S11">
        <v>0.1507</v>
      </c>
      <c r="T11">
        <v>3670</v>
      </c>
      <c r="U11">
        <v>5</v>
      </c>
      <c r="V11">
        <v>0</v>
      </c>
      <c r="W11">
        <v>1392</v>
      </c>
      <c r="X11" t="s">
        <v>158</v>
      </c>
      <c r="Y11" t="s">
        <v>158</v>
      </c>
      <c r="Z11" t="s">
        <v>159</v>
      </c>
      <c r="AA11">
        <v>398</v>
      </c>
      <c r="AB11">
        <v>1659</v>
      </c>
      <c r="AC11">
        <v>2654.4</v>
      </c>
      <c r="AD11">
        <v>0</v>
      </c>
      <c r="AE11">
        <v>0</v>
      </c>
      <c r="AF11">
        <v>398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158</v>
      </c>
      <c r="AM11">
        <v>1659</v>
      </c>
      <c r="AN11">
        <v>2654.4</v>
      </c>
      <c r="AO11">
        <v>0</v>
      </c>
      <c r="AP11">
        <v>0</v>
      </c>
      <c r="AQ11">
        <v>398</v>
      </c>
      <c r="AR11">
        <v>0</v>
      </c>
      <c r="AS11">
        <v>0</v>
      </c>
      <c r="AT11">
        <v>0</v>
      </c>
      <c r="AU11" t="s">
        <v>110</v>
      </c>
      <c r="AV11" t="s">
        <v>160</v>
      </c>
      <c r="AW11">
        <v>330.92</v>
      </c>
      <c r="AX11">
        <v>334.51</v>
      </c>
      <c r="AY11" t="s">
        <v>112</v>
      </c>
      <c r="AZ11">
        <v>0</v>
      </c>
      <c r="BA11">
        <v>0</v>
      </c>
      <c r="BB11">
        <v>302.65618538324418</v>
      </c>
      <c r="BC11">
        <v>332.51</v>
      </c>
      <c r="BD11">
        <v>302.65618538324418</v>
      </c>
      <c r="BE11">
        <v>302.65618538324418</v>
      </c>
      <c r="BF11">
        <v>332.51</v>
      </c>
      <c r="BG11">
        <v>36318.742245989313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T11" t="s">
        <v>113</v>
      </c>
      <c r="CY11"/>
    </row>
    <row r="12" spans="1:103" hidden="1" x14ac:dyDescent="0.25">
      <c r="A12" s="2">
        <v>46082</v>
      </c>
      <c r="B12" t="s">
        <v>98</v>
      </c>
      <c r="C12" t="s">
        <v>98</v>
      </c>
      <c r="D12" t="s">
        <v>99</v>
      </c>
      <c r="E12">
        <v>1</v>
      </c>
      <c r="F12">
        <v>1</v>
      </c>
      <c r="G12" t="s">
        <v>161</v>
      </c>
      <c r="H12" t="s">
        <v>162</v>
      </c>
      <c r="I12" t="s">
        <v>150</v>
      </c>
      <c r="J12" t="s">
        <v>103</v>
      </c>
      <c r="K12" t="s">
        <v>104</v>
      </c>
      <c r="L12" t="s">
        <v>163</v>
      </c>
      <c r="M12">
        <v>2</v>
      </c>
      <c r="N12">
        <v>75</v>
      </c>
      <c r="O12">
        <v>96</v>
      </c>
      <c r="P12">
        <v>0.5</v>
      </c>
      <c r="Q12" t="s">
        <v>106</v>
      </c>
      <c r="R12" t="s">
        <v>107</v>
      </c>
      <c r="S12">
        <v>8.5800000000000001E-2</v>
      </c>
      <c r="T12">
        <v>5464</v>
      </c>
      <c r="U12">
        <v>8</v>
      </c>
      <c r="V12">
        <v>0</v>
      </c>
      <c r="W12">
        <v>1428</v>
      </c>
      <c r="X12" t="s">
        <v>164</v>
      </c>
      <c r="Y12" t="s">
        <v>164</v>
      </c>
      <c r="Z12" t="s">
        <v>165</v>
      </c>
      <c r="AA12">
        <v>1262</v>
      </c>
      <c r="AB12">
        <v>4766</v>
      </c>
      <c r="AC12">
        <v>7625.6</v>
      </c>
      <c r="AD12">
        <v>0</v>
      </c>
      <c r="AE12">
        <v>0</v>
      </c>
      <c r="AF12">
        <v>1262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4766</v>
      </c>
      <c r="AN12">
        <v>7625.6</v>
      </c>
      <c r="AO12">
        <v>0</v>
      </c>
      <c r="AP12">
        <v>0</v>
      </c>
      <c r="AQ12">
        <v>1262</v>
      </c>
      <c r="AR12">
        <v>0</v>
      </c>
      <c r="AS12">
        <v>0</v>
      </c>
      <c r="AT12">
        <v>0</v>
      </c>
      <c r="AU12" t="s">
        <v>110</v>
      </c>
      <c r="AV12" t="s">
        <v>166</v>
      </c>
      <c r="AW12">
        <v>330.92</v>
      </c>
      <c r="AX12">
        <v>334.51</v>
      </c>
      <c r="AY12" t="s">
        <v>112</v>
      </c>
      <c r="AZ12">
        <v>0</v>
      </c>
      <c r="BA12">
        <v>0</v>
      </c>
      <c r="BB12">
        <v>302.65618538324418</v>
      </c>
      <c r="BC12">
        <v>334.51</v>
      </c>
      <c r="BD12">
        <v>302.65618538324418</v>
      </c>
      <c r="BE12">
        <v>302.65618538324418</v>
      </c>
      <c r="BF12">
        <v>334.51</v>
      </c>
      <c r="BG12">
        <v>29054.993796791441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T12" t="s">
        <v>113</v>
      </c>
      <c r="CY12"/>
    </row>
    <row r="13" spans="1:103" hidden="1" x14ac:dyDescent="0.25">
      <c r="A13" s="2">
        <v>46082</v>
      </c>
      <c r="B13" t="s">
        <v>98</v>
      </c>
      <c r="C13" t="s">
        <v>98</v>
      </c>
      <c r="D13" t="s">
        <v>99</v>
      </c>
      <c r="E13">
        <v>1</v>
      </c>
      <c r="F13">
        <v>2</v>
      </c>
      <c r="G13" t="s">
        <v>167</v>
      </c>
      <c r="H13" t="s">
        <v>168</v>
      </c>
      <c r="I13" t="s">
        <v>169</v>
      </c>
      <c r="J13" t="s">
        <v>103</v>
      </c>
      <c r="K13" t="s">
        <v>104</v>
      </c>
      <c r="L13" t="s">
        <v>170</v>
      </c>
      <c r="M13">
        <v>4</v>
      </c>
      <c r="N13">
        <v>55</v>
      </c>
      <c r="O13">
        <v>260</v>
      </c>
      <c r="P13">
        <v>1.5</v>
      </c>
      <c r="Q13" t="s">
        <v>106</v>
      </c>
      <c r="R13" t="s">
        <v>107</v>
      </c>
      <c r="S13">
        <v>4.9500000000000002E-2</v>
      </c>
      <c r="T13">
        <v>1260</v>
      </c>
      <c r="U13">
        <v>20</v>
      </c>
      <c r="V13">
        <v>0</v>
      </c>
      <c r="W13">
        <v>1871</v>
      </c>
      <c r="X13" t="s">
        <v>171</v>
      </c>
      <c r="Y13" t="s">
        <v>171</v>
      </c>
      <c r="Z13" t="s">
        <v>172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110</v>
      </c>
      <c r="AV13" t="s">
        <v>173</v>
      </c>
      <c r="AW13">
        <v>330.92</v>
      </c>
      <c r="AX13">
        <v>334.51</v>
      </c>
      <c r="AY13" t="s">
        <v>112</v>
      </c>
      <c r="AZ13">
        <v>0</v>
      </c>
      <c r="BA13">
        <v>0</v>
      </c>
      <c r="BB13">
        <v>302.65618538324418</v>
      </c>
      <c r="BC13">
        <v>188.58692307692311</v>
      </c>
      <c r="BD13">
        <v>188.58692307692311</v>
      </c>
      <c r="BE13">
        <v>302.65618538324418</v>
      </c>
      <c r="BF13">
        <v>188.58692307692311</v>
      </c>
      <c r="BG13">
        <v>49032.599999999991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T13" t="s">
        <v>113</v>
      </c>
      <c r="CY13"/>
    </row>
    <row r="14" spans="1:103" hidden="1" x14ac:dyDescent="0.25">
      <c r="A14" s="2">
        <v>46082</v>
      </c>
      <c r="B14" t="s">
        <v>98</v>
      </c>
      <c r="C14" t="s">
        <v>98</v>
      </c>
      <c r="D14" t="s">
        <v>99</v>
      </c>
      <c r="E14">
        <v>1</v>
      </c>
      <c r="F14">
        <v>1</v>
      </c>
      <c r="G14" t="s">
        <v>174</v>
      </c>
      <c r="H14" t="s">
        <v>175</v>
      </c>
      <c r="I14" t="s">
        <v>102</v>
      </c>
      <c r="J14" t="s">
        <v>103</v>
      </c>
      <c r="K14" t="s">
        <v>104</v>
      </c>
      <c r="L14" t="s">
        <v>105</v>
      </c>
      <c r="M14">
        <v>2</v>
      </c>
      <c r="N14">
        <v>65</v>
      </c>
      <c r="O14">
        <v>110</v>
      </c>
      <c r="P14">
        <v>2</v>
      </c>
      <c r="Q14" t="s">
        <v>106</v>
      </c>
      <c r="R14" t="s">
        <v>107</v>
      </c>
      <c r="S14">
        <v>8.9700000000000002E-2</v>
      </c>
      <c r="T14">
        <v>900</v>
      </c>
      <c r="U14">
        <v>10</v>
      </c>
      <c r="V14">
        <v>0</v>
      </c>
      <c r="W14">
        <v>1997</v>
      </c>
      <c r="X14" t="s">
        <v>176</v>
      </c>
      <c r="Y14" t="s">
        <v>176</v>
      </c>
      <c r="Z14" t="s">
        <v>177</v>
      </c>
      <c r="AA14">
        <v>0</v>
      </c>
      <c r="AB14">
        <v>0</v>
      </c>
      <c r="AC14">
        <v>176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176</v>
      </c>
      <c r="AM14">
        <v>0</v>
      </c>
      <c r="AN14">
        <v>176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110</v>
      </c>
      <c r="AV14" t="s">
        <v>111</v>
      </c>
      <c r="AW14">
        <v>330.92</v>
      </c>
      <c r="AX14">
        <v>334.51</v>
      </c>
      <c r="AY14" t="s">
        <v>112</v>
      </c>
      <c r="AZ14">
        <v>0</v>
      </c>
      <c r="BA14">
        <v>0</v>
      </c>
      <c r="BB14">
        <v>302.65618538324418</v>
      </c>
      <c r="BC14">
        <v>319.87363636363642</v>
      </c>
      <c r="BD14">
        <v>302.65618538324418</v>
      </c>
      <c r="BE14">
        <v>302.65618538324418</v>
      </c>
      <c r="BF14">
        <v>319.87363636363642</v>
      </c>
      <c r="BG14">
        <v>33292.180392156857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T14" t="s">
        <v>113</v>
      </c>
      <c r="CY14"/>
    </row>
    <row r="15" spans="1:103" hidden="1" x14ac:dyDescent="0.25">
      <c r="A15" s="2">
        <v>46082</v>
      </c>
      <c r="B15" t="s">
        <v>98</v>
      </c>
      <c r="C15" t="s">
        <v>98</v>
      </c>
      <c r="D15" t="s">
        <v>99</v>
      </c>
      <c r="E15">
        <v>1</v>
      </c>
      <c r="F15">
        <v>2</v>
      </c>
      <c r="G15" t="s">
        <v>178</v>
      </c>
      <c r="H15" t="s">
        <v>179</v>
      </c>
      <c r="I15" t="s">
        <v>102</v>
      </c>
      <c r="J15" t="s">
        <v>103</v>
      </c>
      <c r="K15" t="s">
        <v>104</v>
      </c>
      <c r="L15" t="s">
        <v>116</v>
      </c>
      <c r="M15">
        <v>2</v>
      </c>
      <c r="N15">
        <v>70</v>
      </c>
      <c r="O15">
        <v>102</v>
      </c>
      <c r="P15">
        <v>2</v>
      </c>
      <c r="Q15" t="s">
        <v>106</v>
      </c>
      <c r="R15" t="s">
        <v>107</v>
      </c>
      <c r="S15">
        <v>0.14360000000000001</v>
      </c>
      <c r="T15">
        <v>580</v>
      </c>
      <c r="U15">
        <v>10</v>
      </c>
      <c r="V15">
        <v>0</v>
      </c>
      <c r="W15">
        <v>1999</v>
      </c>
      <c r="X15" t="s">
        <v>180</v>
      </c>
      <c r="Y15" t="s">
        <v>180</v>
      </c>
      <c r="Z15" t="s">
        <v>181</v>
      </c>
      <c r="AA15">
        <v>0</v>
      </c>
      <c r="AB15">
        <v>0</v>
      </c>
      <c r="AC15">
        <v>1353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1353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110</v>
      </c>
      <c r="AV15" t="s">
        <v>119</v>
      </c>
      <c r="AW15">
        <v>330.92</v>
      </c>
      <c r="AX15">
        <v>334.51</v>
      </c>
      <c r="AY15" t="s">
        <v>112</v>
      </c>
      <c r="AZ15">
        <v>0</v>
      </c>
      <c r="BA15">
        <v>0</v>
      </c>
      <c r="BB15">
        <v>302.65618538324418</v>
      </c>
      <c r="BC15">
        <v>279.80411764705877</v>
      </c>
      <c r="BD15">
        <v>279.80411764705877</v>
      </c>
      <c r="BE15">
        <v>302.65618538324418</v>
      </c>
      <c r="BF15">
        <v>279.80411764705877</v>
      </c>
      <c r="BG15">
        <v>28540.02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T15" t="s">
        <v>113</v>
      </c>
      <c r="CY15"/>
    </row>
    <row r="16" spans="1:103" hidden="1" x14ac:dyDescent="0.25">
      <c r="A16" s="2">
        <v>46082</v>
      </c>
      <c r="B16" t="s">
        <v>98</v>
      </c>
      <c r="C16" t="s">
        <v>98</v>
      </c>
      <c r="D16" t="s">
        <v>99</v>
      </c>
      <c r="E16">
        <v>1</v>
      </c>
      <c r="F16">
        <v>1</v>
      </c>
      <c r="G16" t="s">
        <v>182</v>
      </c>
      <c r="H16" t="s">
        <v>183</v>
      </c>
      <c r="I16" t="s">
        <v>102</v>
      </c>
      <c r="J16" t="s">
        <v>103</v>
      </c>
      <c r="K16" t="s">
        <v>104</v>
      </c>
      <c r="L16" t="s">
        <v>122</v>
      </c>
      <c r="M16">
        <v>1</v>
      </c>
      <c r="N16">
        <v>85</v>
      </c>
      <c r="O16">
        <v>42</v>
      </c>
      <c r="P16">
        <v>0.5</v>
      </c>
      <c r="Q16" t="s">
        <v>106</v>
      </c>
      <c r="R16" t="s">
        <v>107</v>
      </c>
      <c r="S16">
        <v>0.219</v>
      </c>
      <c r="T16">
        <v>1135</v>
      </c>
      <c r="U16">
        <v>5</v>
      </c>
      <c r="V16">
        <v>0</v>
      </c>
      <c r="W16">
        <v>2001</v>
      </c>
      <c r="X16" t="s">
        <v>184</v>
      </c>
      <c r="Y16" t="s">
        <v>184</v>
      </c>
      <c r="Z16" t="s">
        <v>185</v>
      </c>
      <c r="AA16">
        <v>0</v>
      </c>
      <c r="AB16">
        <v>0</v>
      </c>
      <c r="AC16">
        <v>3839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3839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110</v>
      </c>
      <c r="AV16" t="s">
        <v>125</v>
      </c>
      <c r="AW16">
        <v>330.92</v>
      </c>
      <c r="AX16">
        <v>334.51</v>
      </c>
      <c r="AY16" t="s">
        <v>112</v>
      </c>
      <c r="AZ16">
        <v>0</v>
      </c>
      <c r="BA16">
        <v>0</v>
      </c>
      <c r="BB16">
        <v>302.65618538324418</v>
      </c>
      <c r="BC16">
        <v>299.62904761904758</v>
      </c>
      <c r="BD16">
        <v>299.62904761904758</v>
      </c>
      <c r="BE16">
        <v>302.65618538324418</v>
      </c>
      <c r="BF16">
        <v>299.62904761904758</v>
      </c>
      <c r="BG16">
        <v>12584.42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T16" t="s">
        <v>113</v>
      </c>
      <c r="CY16"/>
    </row>
    <row r="17" spans="1:103" hidden="1" x14ac:dyDescent="0.25">
      <c r="A17" s="2">
        <v>46082</v>
      </c>
      <c r="B17" t="s">
        <v>98</v>
      </c>
      <c r="C17" t="s">
        <v>98</v>
      </c>
      <c r="D17" t="s">
        <v>99</v>
      </c>
      <c r="E17">
        <v>1</v>
      </c>
      <c r="F17">
        <v>1</v>
      </c>
      <c r="G17" t="s">
        <v>186</v>
      </c>
      <c r="H17" t="s">
        <v>187</v>
      </c>
      <c r="I17" t="s">
        <v>102</v>
      </c>
      <c r="J17" t="s">
        <v>103</v>
      </c>
      <c r="K17" t="s">
        <v>104</v>
      </c>
      <c r="L17" t="s">
        <v>105</v>
      </c>
      <c r="M17">
        <v>2</v>
      </c>
      <c r="N17">
        <v>65</v>
      </c>
      <c r="O17">
        <v>110</v>
      </c>
      <c r="P17">
        <v>2</v>
      </c>
      <c r="Q17" t="s">
        <v>106</v>
      </c>
      <c r="R17" t="s">
        <v>107</v>
      </c>
      <c r="S17">
        <v>8.7999999999999995E-2</v>
      </c>
      <c r="T17">
        <v>100</v>
      </c>
      <c r="U17">
        <v>10</v>
      </c>
      <c r="V17">
        <v>0</v>
      </c>
      <c r="W17">
        <v>2010</v>
      </c>
      <c r="X17" t="s">
        <v>188</v>
      </c>
      <c r="Y17" t="s">
        <v>188</v>
      </c>
      <c r="Z17" t="s">
        <v>189</v>
      </c>
      <c r="AA17">
        <v>0</v>
      </c>
      <c r="AB17">
        <v>0</v>
      </c>
      <c r="AC17">
        <v>290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188</v>
      </c>
      <c r="AM17">
        <v>0</v>
      </c>
      <c r="AN17">
        <v>290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110</v>
      </c>
      <c r="AV17" t="s">
        <v>111</v>
      </c>
      <c r="AW17">
        <v>330.92</v>
      </c>
      <c r="AX17">
        <v>334.51</v>
      </c>
      <c r="AY17" t="s">
        <v>112</v>
      </c>
      <c r="AZ17">
        <v>0</v>
      </c>
      <c r="BA17">
        <v>0</v>
      </c>
      <c r="BB17">
        <v>302.65618538324418</v>
      </c>
      <c r="BC17">
        <v>319.87363636363642</v>
      </c>
      <c r="BD17">
        <v>302.65618538324418</v>
      </c>
      <c r="BE17">
        <v>302.65618538324418</v>
      </c>
      <c r="BF17">
        <v>319.87363636363642</v>
      </c>
      <c r="BG17">
        <v>33292.180392156857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T17" t="s">
        <v>113</v>
      </c>
      <c r="CY17"/>
    </row>
    <row r="18" spans="1:103" hidden="1" x14ac:dyDescent="0.25">
      <c r="A18" s="2">
        <v>46082</v>
      </c>
      <c r="B18" t="s">
        <v>98</v>
      </c>
      <c r="C18" t="s">
        <v>98</v>
      </c>
      <c r="D18" t="s">
        <v>99</v>
      </c>
      <c r="E18">
        <v>1</v>
      </c>
      <c r="F18">
        <v>2</v>
      </c>
      <c r="G18" t="s">
        <v>190</v>
      </c>
      <c r="H18" t="s">
        <v>191</v>
      </c>
      <c r="I18" t="s">
        <v>102</v>
      </c>
      <c r="J18" t="s">
        <v>103</v>
      </c>
      <c r="K18" t="s">
        <v>104</v>
      </c>
      <c r="L18" t="s">
        <v>116</v>
      </c>
      <c r="M18">
        <v>2</v>
      </c>
      <c r="N18">
        <v>70</v>
      </c>
      <c r="O18">
        <v>102</v>
      </c>
      <c r="P18">
        <v>2</v>
      </c>
      <c r="Q18" t="s">
        <v>106</v>
      </c>
      <c r="R18" t="s">
        <v>107</v>
      </c>
      <c r="S18">
        <v>0.1452</v>
      </c>
      <c r="T18">
        <v>350</v>
      </c>
      <c r="U18">
        <v>10</v>
      </c>
      <c r="V18">
        <v>0</v>
      </c>
      <c r="W18">
        <v>2012</v>
      </c>
      <c r="X18" t="s">
        <v>192</v>
      </c>
      <c r="Y18" t="s">
        <v>192</v>
      </c>
      <c r="Z18" t="s">
        <v>193</v>
      </c>
      <c r="AA18">
        <v>0</v>
      </c>
      <c r="AB18">
        <v>0</v>
      </c>
      <c r="AC18">
        <v>311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192</v>
      </c>
      <c r="AM18">
        <v>0</v>
      </c>
      <c r="AN18">
        <v>311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110</v>
      </c>
      <c r="AV18" t="s">
        <v>119</v>
      </c>
      <c r="AW18">
        <v>330.92</v>
      </c>
      <c r="AX18">
        <v>334.51</v>
      </c>
      <c r="AY18" t="s">
        <v>112</v>
      </c>
      <c r="AZ18">
        <v>0</v>
      </c>
      <c r="BA18">
        <v>0</v>
      </c>
      <c r="BB18">
        <v>302.65618538324418</v>
      </c>
      <c r="BC18">
        <v>279.80411764705877</v>
      </c>
      <c r="BD18">
        <v>279.80411764705877</v>
      </c>
      <c r="BE18">
        <v>302.65618538324418</v>
      </c>
      <c r="BF18">
        <v>279.80411764705877</v>
      </c>
      <c r="BG18">
        <v>28540.02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T18" t="s">
        <v>113</v>
      </c>
      <c r="CY18"/>
    </row>
    <row r="19" spans="1:103" hidden="1" x14ac:dyDescent="0.25">
      <c r="A19" s="2">
        <v>46082</v>
      </c>
      <c r="B19" t="s">
        <v>98</v>
      </c>
      <c r="C19" t="s">
        <v>98</v>
      </c>
      <c r="D19" t="s">
        <v>99</v>
      </c>
      <c r="E19">
        <v>1</v>
      </c>
      <c r="F19">
        <v>1</v>
      </c>
      <c r="G19" t="s">
        <v>194</v>
      </c>
      <c r="H19" t="s">
        <v>195</v>
      </c>
      <c r="I19" t="s">
        <v>102</v>
      </c>
      <c r="J19" t="s">
        <v>103</v>
      </c>
      <c r="K19" t="s">
        <v>104</v>
      </c>
      <c r="L19" t="s">
        <v>122</v>
      </c>
      <c r="M19">
        <v>1</v>
      </c>
      <c r="N19">
        <v>85</v>
      </c>
      <c r="O19">
        <v>42</v>
      </c>
      <c r="P19">
        <v>0.5</v>
      </c>
      <c r="Q19" t="s">
        <v>106</v>
      </c>
      <c r="R19" t="s">
        <v>107</v>
      </c>
      <c r="S19">
        <v>0.21160000000000001</v>
      </c>
      <c r="T19">
        <v>550</v>
      </c>
      <c r="U19">
        <v>5</v>
      </c>
      <c r="V19">
        <v>0</v>
      </c>
      <c r="W19">
        <v>2013</v>
      </c>
      <c r="X19" t="s">
        <v>196</v>
      </c>
      <c r="Y19" t="s">
        <v>196</v>
      </c>
      <c r="Z19" t="s">
        <v>197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196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110</v>
      </c>
      <c r="AV19" t="s">
        <v>125</v>
      </c>
      <c r="AW19">
        <v>330.92</v>
      </c>
      <c r="AX19">
        <v>334.51</v>
      </c>
      <c r="AY19" t="s">
        <v>112</v>
      </c>
      <c r="AZ19">
        <v>0</v>
      </c>
      <c r="BA19">
        <v>0</v>
      </c>
      <c r="BB19">
        <v>302.65618538324418</v>
      </c>
      <c r="BC19">
        <v>299.62904761904758</v>
      </c>
      <c r="BD19">
        <v>299.62904761904758</v>
      </c>
      <c r="BE19">
        <v>302.65618538324418</v>
      </c>
      <c r="BF19">
        <v>299.62904761904758</v>
      </c>
      <c r="BG19">
        <v>12584.42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T19" t="s">
        <v>113</v>
      </c>
      <c r="CY19"/>
    </row>
    <row r="20" spans="1:103" x14ac:dyDescent="0.25">
      <c r="A20" s="2">
        <v>46082</v>
      </c>
      <c r="B20" t="s">
        <v>198</v>
      </c>
      <c r="C20" t="s">
        <v>98</v>
      </c>
      <c r="D20" t="s">
        <v>112</v>
      </c>
      <c r="E20">
        <v>1</v>
      </c>
      <c r="F20">
        <v>1</v>
      </c>
      <c r="G20" t="s">
        <v>100</v>
      </c>
      <c r="H20" t="s">
        <v>101</v>
      </c>
      <c r="I20" t="s">
        <v>102</v>
      </c>
      <c r="J20" t="s">
        <v>103</v>
      </c>
      <c r="K20" t="s">
        <v>104</v>
      </c>
      <c r="L20" t="s">
        <v>105</v>
      </c>
      <c r="M20">
        <v>2</v>
      </c>
      <c r="N20">
        <v>65</v>
      </c>
      <c r="O20">
        <v>110</v>
      </c>
      <c r="P20">
        <v>2</v>
      </c>
      <c r="Q20" t="s">
        <v>106</v>
      </c>
      <c r="R20" t="s">
        <v>107</v>
      </c>
      <c r="S20">
        <v>8.7999999999999995E-2</v>
      </c>
      <c r="T20">
        <v>740</v>
      </c>
      <c r="U20">
        <v>10</v>
      </c>
      <c r="V20">
        <v>0</v>
      </c>
      <c r="W20">
        <v>2861</v>
      </c>
      <c r="X20" t="s">
        <v>108</v>
      </c>
      <c r="Y20" t="s">
        <v>199</v>
      </c>
      <c r="Z20" t="s">
        <v>200</v>
      </c>
      <c r="AA20">
        <v>1097</v>
      </c>
      <c r="AB20">
        <v>1581</v>
      </c>
      <c r="AC20">
        <v>1581</v>
      </c>
      <c r="AD20">
        <v>0</v>
      </c>
      <c r="AE20">
        <v>0</v>
      </c>
      <c r="AF20">
        <v>1097</v>
      </c>
      <c r="AG20">
        <v>0</v>
      </c>
      <c r="AH20">
        <v>975</v>
      </c>
      <c r="AI20">
        <v>0</v>
      </c>
      <c r="AJ20">
        <v>0</v>
      </c>
      <c r="AK20">
        <v>0</v>
      </c>
      <c r="AL20" t="s">
        <v>199</v>
      </c>
      <c r="AM20">
        <v>1581</v>
      </c>
      <c r="AN20">
        <v>1581</v>
      </c>
      <c r="AO20">
        <v>0</v>
      </c>
      <c r="AP20">
        <v>0</v>
      </c>
      <c r="AQ20">
        <v>1097</v>
      </c>
      <c r="AR20">
        <v>0</v>
      </c>
      <c r="AS20">
        <v>975</v>
      </c>
      <c r="AT20">
        <v>0</v>
      </c>
      <c r="AU20" t="s">
        <v>110</v>
      </c>
      <c r="AV20" t="s">
        <v>111</v>
      </c>
      <c r="AW20">
        <v>330.92</v>
      </c>
      <c r="AX20">
        <v>334.51</v>
      </c>
      <c r="AY20" t="s">
        <v>112</v>
      </c>
      <c r="AZ20">
        <v>2080</v>
      </c>
      <c r="BA20">
        <v>18.90909090909091</v>
      </c>
      <c r="BB20">
        <v>302.65618538324418</v>
      </c>
      <c r="BC20">
        <v>319.87363636363642</v>
      </c>
      <c r="BD20">
        <v>302.65618538324418</v>
      </c>
      <c r="BE20">
        <v>283.7470944741533</v>
      </c>
      <c r="BF20">
        <v>300.96454545454537</v>
      </c>
      <c r="BG20">
        <v>33292.180392156857</v>
      </c>
      <c r="BH20">
        <v>2080</v>
      </c>
      <c r="BI20">
        <v>18.90909090909091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5.7140973374504141E-2</v>
      </c>
      <c r="BV20">
        <v>5.6527729840934231E-2</v>
      </c>
      <c r="BW20">
        <v>18.90909090909091</v>
      </c>
      <c r="BX20">
        <v>18.90909090909091</v>
      </c>
      <c r="BY20">
        <v>1581</v>
      </c>
      <c r="BZ20">
        <v>0</v>
      </c>
      <c r="CA20">
        <v>0</v>
      </c>
      <c r="CB20">
        <v>0</v>
      </c>
      <c r="CC20">
        <v>491</v>
      </c>
      <c r="CD20">
        <v>1581</v>
      </c>
      <c r="CE20">
        <v>0</v>
      </c>
      <c r="CF20">
        <v>8</v>
      </c>
      <c r="CG20">
        <v>0</v>
      </c>
      <c r="CH20">
        <v>0</v>
      </c>
      <c r="CI20">
        <v>0</v>
      </c>
      <c r="CJ20">
        <v>4.4636363636363638</v>
      </c>
      <c r="CK20">
        <v>14.372727272727269</v>
      </c>
      <c r="CL20">
        <v>0</v>
      </c>
      <c r="CM20">
        <v>7.2727272727272724E-2</v>
      </c>
      <c r="CT20" t="s">
        <v>113</v>
      </c>
      <c r="CU20">
        <v>329.90180035650621</v>
      </c>
      <c r="CV20" s="8">
        <f>CJ20/SUBTOTAL(9,$CJ$20:$CJ$73)</f>
        <v>1.10456414309196E-2</v>
      </c>
      <c r="CW20">
        <f>CU20*CV20</f>
        <v>3.6439769941527915</v>
      </c>
      <c r="CX20">
        <f>CJ20-CW20</f>
        <v>0.81965936948357232</v>
      </c>
      <c r="CY20" s="10">
        <f>IF(CN20="",O20*CX20,CO20*CX20/CQ20)</f>
        <v>90.162530643192952</v>
      </c>
    </row>
    <row r="21" spans="1:103" x14ac:dyDescent="0.25">
      <c r="A21" s="2">
        <v>46082</v>
      </c>
      <c r="B21" t="s">
        <v>198</v>
      </c>
      <c r="C21" t="s">
        <v>98</v>
      </c>
      <c r="D21" t="s">
        <v>112</v>
      </c>
      <c r="E21">
        <v>1</v>
      </c>
      <c r="F21">
        <v>2</v>
      </c>
      <c r="G21" t="s">
        <v>114</v>
      </c>
      <c r="H21" t="s">
        <v>115</v>
      </c>
      <c r="I21" t="s">
        <v>102</v>
      </c>
      <c r="J21" t="s">
        <v>103</v>
      </c>
      <c r="K21" t="s">
        <v>104</v>
      </c>
      <c r="L21" t="s">
        <v>116</v>
      </c>
      <c r="M21">
        <v>2</v>
      </c>
      <c r="N21">
        <v>70</v>
      </c>
      <c r="O21">
        <v>102</v>
      </c>
      <c r="P21">
        <v>2</v>
      </c>
      <c r="Q21" t="s">
        <v>106</v>
      </c>
      <c r="R21" t="s">
        <v>107</v>
      </c>
      <c r="S21">
        <v>0.14360000000000001</v>
      </c>
      <c r="T21">
        <v>870</v>
      </c>
      <c r="U21">
        <v>10</v>
      </c>
      <c r="V21">
        <v>0</v>
      </c>
      <c r="W21">
        <v>2863</v>
      </c>
      <c r="X21" t="s">
        <v>117</v>
      </c>
      <c r="Y21" t="s">
        <v>201</v>
      </c>
      <c r="Z21" t="s">
        <v>202</v>
      </c>
      <c r="AA21">
        <v>1752</v>
      </c>
      <c r="AB21">
        <v>2504</v>
      </c>
      <c r="AC21">
        <v>4728</v>
      </c>
      <c r="AD21">
        <v>0</v>
      </c>
      <c r="AE21">
        <v>0</v>
      </c>
      <c r="AF21">
        <v>1752</v>
      </c>
      <c r="AG21">
        <v>0</v>
      </c>
      <c r="AH21">
        <v>1576</v>
      </c>
      <c r="AI21">
        <v>0</v>
      </c>
      <c r="AJ21">
        <v>0</v>
      </c>
      <c r="AK21">
        <v>0</v>
      </c>
      <c r="AL21" t="s">
        <v>201</v>
      </c>
      <c r="AM21">
        <v>2504</v>
      </c>
      <c r="AN21">
        <v>4728</v>
      </c>
      <c r="AO21">
        <v>0</v>
      </c>
      <c r="AP21">
        <v>0</v>
      </c>
      <c r="AQ21">
        <v>1752</v>
      </c>
      <c r="AR21">
        <v>0</v>
      </c>
      <c r="AS21">
        <v>1576</v>
      </c>
      <c r="AT21">
        <v>0</v>
      </c>
      <c r="AU21" t="s">
        <v>110</v>
      </c>
      <c r="AV21" t="s">
        <v>119</v>
      </c>
      <c r="AW21">
        <v>330.92</v>
      </c>
      <c r="AX21">
        <v>334.51</v>
      </c>
      <c r="AY21" t="s">
        <v>112</v>
      </c>
      <c r="AZ21">
        <v>0</v>
      </c>
      <c r="BA21">
        <v>0</v>
      </c>
      <c r="BB21">
        <v>283.7470944741533</v>
      </c>
      <c r="BC21">
        <v>268.92176470588242</v>
      </c>
      <c r="BD21">
        <v>268.92176470588242</v>
      </c>
      <c r="BE21">
        <v>283.7470944741533</v>
      </c>
      <c r="BF21">
        <v>268.92176470588242</v>
      </c>
      <c r="BG21">
        <v>27430.02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T21" t="s">
        <v>113</v>
      </c>
      <c r="CU21">
        <v>329.90180035650621</v>
      </c>
      <c r="CV21" s="8">
        <f t="shared" ref="CV21:CV33" si="0">CJ21/SUBTOTAL(9,$CJ$20:$CJ$73)</f>
        <v>0</v>
      </c>
      <c r="CW21">
        <f t="shared" ref="CW21:CW33" si="1">CU21*CV21</f>
        <v>0</v>
      </c>
      <c r="CX21">
        <f t="shared" ref="CX21:CX33" si="2">CJ21-CW21</f>
        <v>0</v>
      </c>
      <c r="CY21" s="10">
        <f t="shared" ref="CY21:CY33" si="3">IF(CN21="",O21*CX21,CO21*CX21/CQ21)</f>
        <v>0</v>
      </c>
    </row>
    <row r="22" spans="1:103" x14ac:dyDescent="0.25">
      <c r="A22" s="2">
        <v>46082</v>
      </c>
      <c r="B22" t="s">
        <v>198</v>
      </c>
      <c r="C22" t="s">
        <v>98</v>
      </c>
      <c r="D22" t="s">
        <v>112</v>
      </c>
      <c r="E22">
        <v>1</v>
      </c>
      <c r="F22">
        <v>2</v>
      </c>
      <c r="G22" t="s">
        <v>120</v>
      </c>
      <c r="H22" t="s">
        <v>121</v>
      </c>
      <c r="I22" t="s">
        <v>102</v>
      </c>
      <c r="J22" t="s">
        <v>103</v>
      </c>
      <c r="K22" t="s">
        <v>104</v>
      </c>
      <c r="L22" t="s">
        <v>122</v>
      </c>
      <c r="M22">
        <v>1</v>
      </c>
      <c r="N22">
        <v>85</v>
      </c>
      <c r="O22">
        <v>42</v>
      </c>
      <c r="P22">
        <v>0.5</v>
      </c>
      <c r="Q22" t="s">
        <v>106</v>
      </c>
      <c r="R22" t="s">
        <v>107</v>
      </c>
      <c r="S22">
        <v>0.21160000000000001</v>
      </c>
      <c r="T22">
        <v>415</v>
      </c>
      <c r="U22">
        <v>5</v>
      </c>
      <c r="V22">
        <v>0</v>
      </c>
      <c r="W22">
        <v>2865</v>
      </c>
      <c r="X22" t="s">
        <v>123</v>
      </c>
      <c r="Y22" t="s">
        <v>203</v>
      </c>
      <c r="Z22" t="s">
        <v>204</v>
      </c>
      <c r="AA22">
        <v>1150</v>
      </c>
      <c r="AB22">
        <v>1506</v>
      </c>
      <c r="AC22">
        <v>1506</v>
      </c>
      <c r="AD22">
        <v>0</v>
      </c>
      <c r="AE22">
        <v>0</v>
      </c>
      <c r="AF22">
        <v>1150</v>
      </c>
      <c r="AG22">
        <v>0</v>
      </c>
      <c r="AH22">
        <v>1060</v>
      </c>
      <c r="AI22">
        <v>0</v>
      </c>
      <c r="AJ22">
        <v>0</v>
      </c>
      <c r="AK22">
        <v>0</v>
      </c>
      <c r="AM22">
        <v>1506</v>
      </c>
      <c r="AN22">
        <v>1506</v>
      </c>
      <c r="AO22">
        <v>0</v>
      </c>
      <c r="AP22">
        <v>0</v>
      </c>
      <c r="AQ22">
        <v>1150</v>
      </c>
      <c r="AR22">
        <v>0</v>
      </c>
      <c r="AS22">
        <v>1060</v>
      </c>
      <c r="AT22">
        <v>0</v>
      </c>
      <c r="AU22" t="s">
        <v>110</v>
      </c>
      <c r="AV22" t="s">
        <v>125</v>
      </c>
      <c r="AW22">
        <v>330.92</v>
      </c>
      <c r="AX22">
        <v>334.51</v>
      </c>
      <c r="AY22" t="s">
        <v>112</v>
      </c>
      <c r="AZ22">
        <v>2210</v>
      </c>
      <c r="BA22">
        <v>52.61904761904762</v>
      </c>
      <c r="BB22">
        <v>283.7470944741533</v>
      </c>
      <c r="BC22">
        <v>299.62904761904758</v>
      </c>
      <c r="BD22">
        <v>283.7470944741533</v>
      </c>
      <c r="BE22">
        <v>231.12804685510571</v>
      </c>
      <c r="BF22">
        <v>247.01</v>
      </c>
      <c r="BG22">
        <v>11917.377967914441</v>
      </c>
      <c r="BH22">
        <v>2210</v>
      </c>
      <c r="BI22">
        <v>52.61904761904762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0.15900836340821839</v>
      </c>
      <c r="BV22">
        <v>0.15730186726569501</v>
      </c>
      <c r="BW22">
        <v>52.619047619047613</v>
      </c>
      <c r="BX22">
        <v>52.61904761904762</v>
      </c>
      <c r="BY22">
        <v>1506</v>
      </c>
      <c r="BZ22">
        <v>0</v>
      </c>
      <c r="CA22">
        <v>0</v>
      </c>
      <c r="CB22">
        <v>0</v>
      </c>
      <c r="CC22">
        <v>704</v>
      </c>
      <c r="CD22">
        <v>1506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16.761904761904759</v>
      </c>
      <c r="CK22">
        <v>35.857142857142847</v>
      </c>
      <c r="CL22">
        <v>0</v>
      </c>
      <c r="CM22">
        <v>0</v>
      </c>
      <c r="CT22" t="s">
        <v>113</v>
      </c>
      <c r="CU22">
        <v>329.90180035650621</v>
      </c>
      <c r="CV22" s="8">
        <f t="shared" si="0"/>
        <v>4.1478734963166217E-2</v>
      </c>
      <c r="CW22">
        <f t="shared" si="1"/>
        <v>13.683909340858895</v>
      </c>
      <c r="CX22">
        <f t="shared" si="2"/>
        <v>3.0779954210458644</v>
      </c>
      <c r="CY22" s="10">
        <f t="shared" si="3"/>
        <v>129.2758076839263</v>
      </c>
    </row>
    <row r="23" spans="1:103" x14ac:dyDescent="0.25">
      <c r="A23" s="2">
        <v>46082</v>
      </c>
      <c r="B23" t="s">
        <v>198</v>
      </c>
      <c r="C23" t="s">
        <v>98</v>
      </c>
      <c r="D23" t="s">
        <v>112</v>
      </c>
      <c r="E23">
        <v>1</v>
      </c>
      <c r="F23">
        <v>2</v>
      </c>
      <c r="G23" t="s">
        <v>126</v>
      </c>
      <c r="H23" t="s">
        <v>127</v>
      </c>
      <c r="I23" t="s">
        <v>102</v>
      </c>
      <c r="J23" t="s">
        <v>103</v>
      </c>
      <c r="K23" t="s">
        <v>104</v>
      </c>
      <c r="L23" t="s">
        <v>128</v>
      </c>
      <c r="M23">
        <v>1</v>
      </c>
      <c r="N23">
        <v>100</v>
      </c>
      <c r="O23">
        <v>36</v>
      </c>
      <c r="P23">
        <v>0.5</v>
      </c>
      <c r="Q23" t="s">
        <v>106</v>
      </c>
      <c r="R23" t="s">
        <v>107</v>
      </c>
      <c r="S23">
        <v>0.30559999999999998</v>
      </c>
      <c r="T23">
        <v>270</v>
      </c>
      <c r="U23">
        <v>5</v>
      </c>
      <c r="V23">
        <v>0</v>
      </c>
      <c r="W23">
        <v>2868</v>
      </c>
      <c r="X23" t="s">
        <v>129</v>
      </c>
      <c r="Y23" t="s">
        <v>205</v>
      </c>
      <c r="Z23" t="s">
        <v>206</v>
      </c>
      <c r="AA23">
        <v>649</v>
      </c>
      <c r="AB23">
        <v>735</v>
      </c>
      <c r="AC23">
        <v>2092</v>
      </c>
      <c r="AD23">
        <v>0</v>
      </c>
      <c r="AE23">
        <v>5</v>
      </c>
      <c r="AF23">
        <v>644</v>
      </c>
      <c r="AG23">
        <v>0</v>
      </c>
      <c r="AH23">
        <v>598</v>
      </c>
      <c r="AI23">
        <v>0</v>
      </c>
      <c r="AJ23">
        <v>0</v>
      </c>
      <c r="AK23">
        <v>0</v>
      </c>
      <c r="AL23" t="s">
        <v>205</v>
      </c>
      <c r="AM23">
        <v>735</v>
      </c>
      <c r="AN23">
        <v>2092</v>
      </c>
      <c r="AO23">
        <v>0</v>
      </c>
      <c r="AP23">
        <v>5</v>
      </c>
      <c r="AQ23">
        <v>644</v>
      </c>
      <c r="AR23">
        <v>0</v>
      </c>
      <c r="AS23">
        <v>598</v>
      </c>
      <c r="AT23">
        <v>0</v>
      </c>
      <c r="AU23" t="s">
        <v>110</v>
      </c>
      <c r="AV23" t="s">
        <v>131</v>
      </c>
      <c r="AW23">
        <v>330.92</v>
      </c>
      <c r="AX23">
        <v>334.51</v>
      </c>
      <c r="AY23" t="s">
        <v>112</v>
      </c>
      <c r="AZ23">
        <v>0</v>
      </c>
      <c r="BA23">
        <v>0</v>
      </c>
      <c r="BB23">
        <v>231.12804685510571</v>
      </c>
      <c r="BC23">
        <v>309.51</v>
      </c>
      <c r="BD23">
        <v>231.12804685510571</v>
      </c>
      <c r="BE23">
        <v>231.12804685510571</v>
      </c>
      <c r="BF23">
        <v>309.51</v>
      </c>
      <c r="BG23">
        <v>8320.6096867838041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T23" t="s">
        <v>113</v>
      </c>
      <c r="CU23">
        <v>329.90180035650621</v>
      </c>
      <c r="CV23" s="8">
        <f t="shared" si="0"/>
        <v>0</v>
      </c>
      <c r="CW23">
        <f t="shared" si="1"/>
        <v>0</v>
      </c>
      <c r="CX23">
        <f t="shared" si="2"/>
        <v>0</v>
      </c>
      <c r="CY23" s="10">
        <f t="shared" si="3"/>
        <v>0</v>
      </c>
    </row>
    <row r="24" spans="1:103" x14ac:dyDescent="0.25">
      <c r="A24" s="2">
        <v>46082</v>
      </c>
      <c r="B24" t="s">
        <v>198</v>
      </c>
      <c r="C24" t="s">
        <v>98</v>
      </c>
      <c r="D24" t="s">
        <v>112</v>
      </c>
      <c r="E24">
        <v>1</v>
      </c>
      <c r="F24">
        <v>1</v>
      </c>
      <c r="G24" t="s">
        <v>132</v>
      </c>
      <c r="H24" t="s">
        <v>133</v>
      </c>
      <c r="I24" t="s">
        <v>102</v>
      </c>
      <c r="J24" t="s">
        <v>103</v>
      </c>
      <c r="K24" t="s">
        <v>104</v>
      </c>
      <c r="L24" t="s">
        <v>105</v>
      </c>
      <c r="M24">
        <v>2</v>
      </c>
      <c r="N24">
        <v>65</v>
      </c>
      <c r="O24">
        <v>110</v>
      </c>
      <c r="P24">
        <v>2</v>
      </c>
      <c r="Q24" t="s">
        <v>106</v>
      </c>
      <c r="R24" t="s">
        <v>107</v>
      </c>
      <c r="S24">
        <v>8.9499999999999996E-2</v>
      </c>
      <c r="T24">
        <v>90</v>
      </c>
      <c r="U24">
        <v>10</v>
      </c>
      <c r="V24">
        <v>0</v>
      </c>
      <c r="W24">
        <v>2873</v>
      </c>
      <c r="X24" t="s">
        <v>134</v>
      </c>
      <c r="Y24" t="s">
        <v>207</v>
      </c>
      <c r="Z24" t="s">
        <v>208</v>
      </c>
      <c r="AA24">
        <v>120</v>
      </c>
      <c r="AB24">
        <v>247</v>
      </c>
      <c r="AC24">
        <v>822</v>
      </c>
      <c r="AD24">
        <v>0</v>
      </c>
      <c r="AE24">
        <v>0</v>
      </c>
      <c r="AF24">
        <v>120</v>
      </c>
      <c r="AG24">
        <v>0</v>
      </c>
      <c r="AH24">
        <v>102</v>
      </c>
      <c r="AI24">
        <v>0</v>
      </c>
      <c r="AJ24">
        <v>0</v>
      </c>
      <c r="AK24">
        <v>0</v>
      </c>
      <c r="AL24" t="s">
        <v>207</v>
      </c>
      <c r="AM24">
        <v>247</v>
      </c>
      <c r="AN24">
        <v>822</v>
      </c>
      <c r="AO24">
        <v>0</v>
      </c>
      <c r="AP24">
        <v>0</v>
      </c>
      <c r="AQ24">
        <v>120</v>
      </c>
      <c r="AR24">
        <v>0</v>
      </c>
      <c r="AS24">
        <v>102</v>
      </c>
      <c r="AT24">
        <v>0</v>
      </c>
      <c r="AU24" t="s">
        <v>110</v>
      </c>
      <c r="AV24" t="s">
        <v>111</v>
      </c>
      <c r="AW24">
        <v>330.92</v>
      </c>
      <c r="AX24">
        <v>334.51</v>
      </c>
      <c r="AY24" t="s">
        <v>112</v>
      </c>
      <c r="AZ24">
        <v>0</v>
      </c>
      <c r="BA24">
        <v>0</v>
      </c>
      <c r="BB24">
        <v>231.12804685510571</v>
      </c>
      <c r="BC24">
        <v>300.96454545454537</v>
      </c>
      <c r="BD24">
        <v>231.12804685510571</v>
      </c>
      <c r="BE24">
        <v>231.12804685510571</v>
      </c>
      <c r="BF24">
        <v>300.96454545454537</v>
      </c>
      <c r="BG24">
        <v>25424.08515406162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T24" t="s">
        <v>113</v>
      </c>
      <c r="CU24">
        <v>329.90180035650621</v>
      </c>
      <c r="CV24" s="8">
        <f t="shared" si="0"/>
        <v>0</v>
      </c>
      <c r="CW24">
        <f t="shared" si="1"/>
        <v>0</v>
      </c>
      <c r="CX24">
        <f t="shared" si="2"/>
        <v>0</v>
      </c>
      <c r="CY24" s="10">
        <f t="shared" si="3"/>
        <v>0</v>
      </c>
    </row>
    <row r="25" spans="1:103" x14ac:dyDescent="0.25">
      <c r="A25" s="2">
        <v>46082</v>
      </c>
      <c r="B25" t="s">
        <v>198</v>
      </c>
      <c r="C25" t="s">
        <v>98</v>
      </c>
      <c r="D25" t="s">
        <v>112</v>
      </c>
      <c r="E25">
        <v>1</v>
      </c>
      <c r="F25">
        <v>1</v>
      </c>
      <c r="G25" t="s">
        <v>136</v>
      </c>
      <c r="H25" t="s">
        <v>137</v>
      </c>
      <c r="I25" t="s">
        <v>102</v>
      </c>
      <c r="J25" t="s">
        <v>103</v>
      </c>
      <c r="K25" t="s">
        <v>104</v>
      </c>
      <c r="L25" t="s">
        <v>116</v>
      </c>
      <c r="M25">
        <v>2</v>
      </c>
      <c r="N25">
        <v>70</v>
      </c>
      <c r="O25">
        <v>102</v>
      </c>
      <c r="P25">
        <v>2</v>
      </c>
      <c r="Q25" t="s">
        <v>106</v>
      </c>
      <c r="R25" t="s">
        <v>107</v>
      </c>
      <c r="S25">
        <v>0.14860000000000001</v>
      </c>
      <c r="T25">
        <v>80</v>
      </c>
      <c r="U25">
        <v>10</v>
      </c>
      <c r="V25">
        <v>0</v>
      </c>
      <c r="W25">
        <v>2874</v>
      </c>
      <c r="X25" t="s">
        <v>138</v>
      </c>
      <c r="Y25" t="s">
        <v>209</v>
      </c>
      <c r="Z25" t="s">
        <v>210</v>
      </c>
      <c r="AA25">
        <v>164</v>
      </c>
      <c r="AB25">
        <v>315</v>
      </c>
      <c r="AC25">
        <v>315</v>
      </c>
      <c r="AD25">
        <v>0</v>
      </c>
      <c r="AE25">
        <v>0</v>
      </c>
      <c r="AF25">
        <v>164</v>
      </c>
      <c r="AG25">
        <v>0</v>
      </c>
      <c r="AH25">
        <v>144</v>
      </c>
      <c r="AI25">
        <v>0</v>
      </c>
      <c r="AJ25">
        <v>0</v>
      </c>
      <c r="AK25">
        <v>0</v>
      </c>
      <c r="AM25">
        <v>315</v>
      </c>
      <c r="AN25">
        <v>315</v>
      </c>
      <c r="AO25">
        <v>0</v>
      </c>
      <c r="AP25">
        <v>0</v>
      </c>
      <c r="AQ25">
        <v>164</v>
      </c>
      <c r="AR25">
        <v>0</v>
      </c>
      <c r="AS25">
        <v>144</v>
      </c>
      <c r="AT25">
        <v>0</v>
      </c>
      <c r="AU25" t="s">
        <v>110</v>
      </c>
      <c r="AV25" t="s">
        <v>119</v>
      </c>
      <c r="AW25">
        <v>330.92</v>
      </c>
      <c r="AX25">
        <v>334.51</v>
      </c>
      <c r="AY25" t="s">
        <v>112</v>
      </c>
      <c r="AZ25">
        <v>310</v>
      </c>
      <c r="BA25">
        <v>3.0392156862745101</v>
      </c>
      <c r="BB25">
        <v>231.12804685510571</v>
      </c>
      <c r="BC25">
        <v>268.92176470588242</v>
      </c>
      <c r="BD25">
        <v>231.12804685510571</v>
      </c>
      <c r="BE25">
        <v>228.08883116883121</v>
      </c>
      <c r="BF25">
        <v>265.88254901960778</v>
      </c>
      <c r="BG25">
        <v>23575.060779220781</v>
      </c>
      <c r="BH25">
        <v>310</v>
      </c>
      <c r="BI25">
        <v>3.0392156862745101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9.1841402341185461E-3</v>
      </c>
      <c r="BV25">
        <v>9.0855749791471391E-3</v>
      </c>
      <c r="BW25">
        <v>3.0392156862745092</v>
      </c>
      <c r="BX25">
        <v>3.0392156862745092</v>
      </c>
      <c r="BY25">
        <v>315</v>
      </c>
      <c r="BZ25">
        <v>0</v>
      </c>
      <c r="CA25">
        <v>0</v>
      </c>
      <c r="CB25">
        <v>0</v>
      </c>
      <c r="CC25">
        <v>0</v>
      </c>
      <c r="CD25">
        <v>308</v>
      </c>
      <c r="CE25">
        <v>0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3.0196078431372548</v>
      </c>
      <c r="CL25">
        <v>0</v>
      </c>
      <c r="CM25">
        <v>1.9607843137254902E-2</v>
      </c>
      <c r="CT25" t="s">
        <v>113</v>
      </c>
      <c r="CU25">
        <v>329.90180035650621</v>
      </c>
      <c r="CV25" s="8">
        <f t="shared" si="0"/>
        <v>0</v>
      </c>
      <c r="CW25">
        <f t="shared" si="1"/>
        <v>0</v>
      </c>
      <c r="CX25">
        <f t="shared" si="2"/>
        <v>0</v>
      </c>
      <c r="CY25" s="10">
        <f t="shared" si="3"/>
        <v>0</v>
      </c>
    </row>
    <row r="26" spans="1:103" x14ac:dyDescent="0.25">
      <c r="A26" s="2">
        <v>46082</v>
      </c>
      <c r="B26" t="s">
        <v>198</v>
      </c>
      <c r="C26" t="s">
        <v>98</v>
      </c>
      <c r="D26" t="s">
        <v>112</v>
      </c>
      <c r="E26">
        <v>1</v>
      </c>
      <c r="F26">
        <v>1</v>
      </c>
      <c r="G26" t="s">
        <v>140</v>
      </c>
      <c r="H26" t="s">
        <v>141</v>
      </c>
      <c r="I26" t="s">
        <v>102</v>
      </c>
      <c r="J26" t="s">
        <v>103</v>
      </c>
      <c r="K26" t="s">
        <v>104</v>
      </c>
      <c r="L26" t="s">
        <v>122</v>
      </c>
      <c r="M26">
        <v>1</v>
      </c>
      <c r="N26">
        <v>85</v>
      </c>
      <c r="O26">
        <v>42</v>
      </c>
      <c r="P26">
        <v>0.5</v>
      </c>
      <c r="Q26" t="s">
        <v>106</v>
      </c>
      <c r="R26" t="s">
        <v>107</v>
      </c>
      <c r="S26">
        <v>0.2195</v>
      </c>
      <c r="T26">
        <v>85</v>
      </c>
      <c r="U26">
        <v>5</v>
      </c>
      <c r="V26">
        <v>0</v>
      </c>
      <c r="W26">
        <v>2876</v>
      </c>
      <c r="X26" t="s">
        <v>142</v>
      </c>
      <c r="Y26" t="s">
        <v>211</v>
      </c>
      <c r="Z26" t="s">
        <v>212</v>
      </c>
      <c r="AA26">
        <v>210</v>
      </c>
      <c r="AB26">
        <v>384</v>
      </c>
      <c r="AC26">
        <v>384</v>
      </c>
      <c r="AD26">
        <v>0</v>
      </c>
      <c r="AE26">
        <v>0</v>
      </c>
      <c r="AF26">
        <v>210</v>
      </c>
      <c r="AG26">
        <v>0</v>
      </c>
      <c r="AH26">
        <v>173</v>
      </c>
      <c r="AI26">
        <v>0</v>
      </c>
      <c r="AJ26">
        <v>0</v>
      </c>
      <c r="AK26">
        <v>0</v>
      </c>
      <c r="AM26">
        <v>384</v>
      </c>
      <c r="AN26">
        <v>384</v>
      </c>
      <c r="AO26">
        <v>0</v>
      </c>
      <c r="AP26">
        <v>0</v>
      </c>
      <c r="AQ26">
        <v>210</v>
      </c>
      <c r="AR26">
        <v>0</v>
      </c>
      <c r="AS26">
        <v>173</v>
      </c>
      <c r="AT26">
        <v>0</v>
      </c>
      <c r="AU26" t="s">
        <v>110</v>
      </c>
      <c r="AV26" t="s">
        <v>125</v>
      </c>
      <c r="AW26">
        <v>330.92</v>
      </c>
      <c r="AX26">
        <v>334.51</v>
      </c>
      <c r="AY26" t="s">
        <v>112</v>
      </c>
      <c r="AZ26">
        <v>385</v>
      </c>
      <c r="BA26">
        <v>9.1666666666666661</v>
      </c>
      <c r="BB26">
        <v>228.08883116883121</v>
      </c>
      <c r="BC26">
        <v>247.01</v>
      </c>
      <c r="BD26">
        <v>228.08883116883121</v>
      </c>
      <c r="BE26">
        <v>218.92216450216449</v>
      </c>
      <c r="BF26">
        <v>237.84333333333331</v>
      </c>
      <c r="BG26">
        <v>9579.7309090909093</v>
      </c>
      <c r="BH26">
        <v>385</v>
      </c>
      <c r="BI26">
        <v>9.1666666666666661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2.7700551996454329E-2</v>
      </c>
      <c r="BV26">
        <v>2.7403266469363152E-2</v>
      </c>
      <c r="BW26">
        <v>9.1666666666666661</v>
      </c>
      <c r="BX26">
        <v>9.1666666666666661</v>
      </c>
      <c r="BY26">
        <v>384</v>
      </c>
      <c r="BZ26">
        <v>0</v>
      </c>
      <c r="CA26">
        <v>0</v>
      </c>
      <c r="CB26">
        <v>0</v>
      </c>
      <c r="CC26">
        <v>0</v>
      </c>
      <c r="CD26">
        <v>383</v>
      </c>
      <c r="CE26">
        <v>0</v>
      </c>
      <c r="CF26">
        <v>2</v>
      </c>
      <c r="CG26">
        <v>0</v>
      </c>
      <c r="CH26">
        <v>0</v>
      </c>
      <c r="CI26">
        <v>0</v>
      </c>
      <c r="CJ26">
        <v>0</v>
      </c>
      <c r="CK26">
        <v>9.1190476190476186</v>
      </c>
      <c r="CL26">
        <v>0</v>
      </c>
      <c r="CM26">
        <v>4.7619047619047623E-2</v>
      </c>
      <c r="CT26" t="s">
        <v>113</v>
      </c>
      <c r="CU26">
        <v>329.90180035650621</v>
      </c>
      <c r="CV26" s="8">
        <f t="shared" si="0"/>
        <v>0</v>
      </c>
      <c r="CW26">
        <f t="shared" si="1"/>
        <v>0</v>
      </c>
      <c r="CX26">
        <f t="shared" si="2"/>
        <v>0</v>
      </c>
      <c r="CY26" s="10">
        <f t="shared" si="3"/>
        <v>0</v>
      </c>
    </row>
    <row r="27" spans="1:103" x14ac:dyDescent="0.25">
      <c r="A27" s="2">
        <v>46082</v>
      </c>
      <c r="B27" t="s">
        <v>198</v>
      </c>
      <c r="C27" t="s">
        <v>98</v>
      </c>
      <c r="D27" t="s">
        <v>112</v>
      </c>
      <c r="E27">
        <v>1</v>
      </c>
      <c r="F27">
        <v>2</v>
      </c>
      <c r="G27" t="s">
        <v>144</v>
      </c>
      <c r="H27" t="s">
        <v>145</v>
      </c>
      <c r="I27" t="s">
        <v>102</v>
      </c>
      <c r="J27" t="s">
        <v>103</v>
      </c>
      <c r="K27" t="s">
        <v>104</v>
      </c>
      <c r="L27" t="s">
        <v>128</v>
      </c>
      <c r="M27">
        <v>1</v>
      </c>
      <c r="N27">
        <v>100</v>
      </c>
      <c r="O27">
        <v>36</v>
      </c>
      <c r="P27">
        <v>0.5</v>
      </c>
      <c r="Q27" t="s">
        <v>106</v>
      </c>
      <c r="R27" t="s">
        <v>107</v>
      </c>
      <c r="S27">
        <v>0.32390000000000002</v>
      </c>
      <c r="T27">
        <v>15</v>
      </c>
      <c r="U27">
        <v>5</v>
      </c>
      <c r="V27">
        <v>0</v>
      </c>
      <c r="W27">
        <v>2879</v>
      </c>
      <c r="X27" t="s">
        <v>146</v>
      </c>
      <c r="Y27" t="s">
        <v>213</v>
      </c>
      <c r="Z27" t="s">
        <v>214</v>
      </c>
      <c r="AA27">
        <v>80</v>
      </c>
      <c r="AB27">
        <v>252</v>
      </c>
      <c r="AC27">
        <v>252</v>
      </c>
      <c r="AD27">
        <v>0</v>
      </c>
      <c r="AE27">
        <v>0</v>
      </c>
      <c r="AF27">
        <v>80</v>
      </c>
      <c r="AG27">
        <v>0</v>
      </c>
      <c r="AH27">
        <v>71</v>
      </c>
      <c r="AI27">
        <v>0</v>
      </c>
      <c r="AJ27">
        <v>0</v>
      </c>
      <c r="AK27">
        <v>0</v>
      </c>
      <c r="AL27" t="s">
        <v>213</v>
      </c>
      <c r="AM27">
        <v>252</v>
      </c>
      <c r="AN27">
        <v>252</v>
      </c>
      <c r="AO27">
        <v>0</v>
      </c>
      <c r="AP27">
        <v>0</v>
      </c>
      <c r="AQ27">
        <v>80</v>
      </c>
      <c r="AR27">
        <v>0</v>
      </c>
      <c r="AS27">
        <v>71</v>
      </c>
      <c r="AT27">
        <v>0</v>
      </c>
      <c r="AU27" t="s">
        <v>110</v>
      </c>
      <c r="AV27" t="s">
        <v>131</v>
      </c>
      <c r="AW27">
        <v>330.92</v>
      </c>
      <c r="AX27">
        <v>334.51</v>
      </c>
      <c r="AY27" t="s">
        <v>112</v>
      </c>
      <c r="AZ27">
        <v>0</v>
      </c>
      <c r="BA27">
        <v>0</v>
      </c>
      <c r="BB27">
        <v>218.92216450216449</v>
      </c>
      <c r="BC27">
        <v>305.20444444444439</v>
      </c>
      <c r="BD27">
        <v>218.92216450216449</v>
      </c>
      <c r="BE27">
        <v>218.92216450216449</v>
      </c>
      <c r="BF27">
        <v>305.20444444444439</v>
      </c>
      <c r="BG27">
        <v>7881.1979220779231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T27" t="s">
        <v>113</v>
      </c>
      <c r="CU27">
        <v>329.90180035650621</v>
      </c>
      <c r="CV27" s="8">
        <f t="shared" si="0"/>
        <v>0</v>
      </c>
      <c r="CW27">
        <f t="shared" si="1"/>
        <v>0</v>
      </c>
      <c r="CX27">
        <f t="shared" si="2"/>
        <v>0</v>
      </c>
      <c r="CY27" s="10">
        <f t="shared" si="3"/>
        <v>0</v>
      </c>
    </row>
    <row r="28" spans="1:103" x14ac:dyDescent="0.25">
      <c r="A28" s="2">
        <v>46082</v>
      </c>
      <c r="B28" t="s">
        <v>198</v>
      </c>
      <c r="C28" t="s">
        <v>98</v>
      </c>
      <c r="D28" t="s">
        <v>112</v>
      </c>
      <c r="E28">
        <v>1</v>
      </c>
      <c r="F28">
        <v>1</v>
      </c>
      <c r="G28" t="s">
        <v>148</v>
      </c>
      <c r="H28" t="s">
        <v>149</v>
      </c>
      <c r="I28" t="s">
        <v>150</v>
      </c>
      <c r="J28" t="s">
        <v>103</v>
      </c>
      <c r="K28" t="s">
        <v>104</v>
      </c>
      <c r="L28" t="s">
        <v>151</v>
      </c>
      <c r="M28">
        <v>2</v>
      </c>
      <c r="N28">
        <v>45</v>
      </c>
      <c r="O28">
        <v>160</v>
      </c>
      <c r="P28">
        <v>0.5</v>
      </c>
      <c r="Q28" t="s">
        <v>106</v>
      </c>
      <c r="R28" t="s">
        <v>107</v>
      </c>
      <c r="S28">
        <v>9.2700000000000005E-2</v>
      </c>
      <c r="T28">
        <v>2838</v>
      </c>
      <c r="U28">
        <v>6</v>
      </c>
      <c r="V28">
        <v>0</v>
      </c>
      <c r="W28">
        <v>3416</v>
      </c>
      <c r="X28" t="s">
        <v>152</v>
      </c>
      <c r="Y28" t="s">
        <v>215</v>
      </c>
      <c r="Z28" t="s">
        <v>216</v>
      </c>
      <c r="AA28">
        <v>6199</v>
      </c>
      <c r="AB28">
        <v>11713</v>
      </c>
      <c r="AC28">
        <v>11713</v>
      </c>
      <c r="AD28">
        <v>0</v>
      </c>
      <c r="AE28">
        <v>108</v>
      </c>
      <c r="AF28">
        <v>6091</v>
      </c>
      <c r="AG28">
        <v>0</v>
      </c>
      <c r="AH28">
        <v>6220</v>
      </c>
      <c r="AI28">
        <v>0</v>
      </c>
      <c r="AJ28">
        <v>0</v>
      </c>
      <c r="AK28">
        <v>0</v>
      </c>
      <c r="AM28">
        <v>11713</v>
      </c>
      <c r="AN28">
        <v>11713</v>
      </c>
      <c r="AO28">
        <v>0</v>
      </c>
      <c r="AP28">
        <v>108</v>
      </c>
      <c r="AQ28">
        <v>6091</v>
      </c>
      <c r="AR28">
        <v>0</v>
      </c>
      <c r="AS28">
        <v>6220</v>
      </c>
      <c r="AT28">
        <v>0</v>
      </c>
      <c r="AU28" t="s">
        <v>110</v>
      </c>
      <c r="AV28" t="s">
        <v>154</v>
      </c>
      <c r="AW28">
        <v>330.92</v>
      </c>
      <c r="AX28">
        <v>334.51</v>
      </c>
      <c r="AY28" t="s">
        <v>112</v>
      </c>
      <c r="AZ28">
        <v>12420</v>
      </c>
      <c r="BA28">
        <v>77.625</v>
      </c>
      <c r="BB28">
        <v>218.92216450216449</v>
      </c>
      <c r="BC28">
        <v>329.06</v>
      </c>
      <c r="BD28">
        <v>218.92216450216449</v>
      </c>
      <c r="BE28">
        <v>141.29716450216449</v>
      </c>
      <c r="BF28">
        <v>251.435</v>
      </c>
      <c r="BG28">
        <v>35027.546320346322</v>
      </c>
      <c r="BH28">
        <v>12420</v>
      </c>
      <c r="BI28">
        <v>77.625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0.23457331076997459</v>
      </c>
      <c r="BV28">
        <v>0.2320558428746525</v>
      </c>
      <c r="BW28">
        <v>77.625</v>
      </c>
      <c r="BX28">
        <v>77.625</v>
      </c>
      <c r="BY28">
        <v>11713</v>
      </c>
      <c r="BZ28">
        <v>0</v>
      </c>
      <c r="CA28">
        <v>0</v>
      </c>
      <c r="CB28">
        <v>0</v>
      </c>
      <c r="CC28">
        <v>706</v>
      </c>
      <c r="CD28">
        <v>11713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4.4124999999999996</v>
      </c>
      <c r="CK28">
        <v>73.206249999999997</v>
      </c>
      <c r="CL28">
        <v>0</v>
      </c>
      <c r="CM28">
        <v>6.2500000000000003E-3</v>
      </c>
      <c r="CT28" t="s">
        <v>113</v>
      </c>
      <c r="CU28">
        <v>329.90180035650621</v>
      </c>
      <c r="CV28" s="8">
        <f t="shared" si="0"/>
        <v>1.0919100223080652E-2</v>
      </c>
      <c r="CW28">
        <f t="shared" si="1"/>
        <v>3.6022308218674359</v>
      </c>
      <c r="CX28">
        <f t="shared" si="2"/>
        <v>0.81026917813256372</v>
      </c>
      <c r="CY28" s="10">
        <f t="shared" si="3"/>
        <v>129.64306850121019</v>
      </c>
    </row>
    <row r="29" spans="1:103" x14ac:dyDescent="0.25">
      <c r="A29" s="2">
        <v>46082</v>
      </c>
      <c r="B29" t="s">
        <v>198</v>
      </c>
      <c r="C29" t="s">
        <v>98</v>
      </c>
      <c r="D29" t="s">
        <v>112</v>
      </c>
      <c r="E29">
        <v>1</v>
      </c>
      <c r="F29">
        <v>2</v>
      </c>
      <c r="G29" t="s">
        <v>155</v>
      </c>
      <c r="H29" t="s">
        <v>156</v>
      </c>
      <c r="I29" t="s">
        <v>150</v>
      </c>
      <c r="J29" t="s">
        <v>103</v>
      </c>
      <c r="K29" t="s">
        <v>104</v>
      </c>
      <c r="L29" t="s">
        <v>157</v>
      </c>
      <c r="M29">
        <v>2</v>
      </c>
      <c r="N29">
        <v>60</v>
      </c>
      <c r="O29">
        <v>120</v>
      </c>
      <c r="P29">
        <v>0.5</v>
      </c>
      <c r="Q29" t="s">
        <v>106</v>
      </c>
      <c r="R29" t="s">
        <v>107</v>
      </c>
      <c r="S29">
        <v>0.1507</v>
      </c>
      <c r="T29">
        <v>2875</v>
      </c>
      <c r="U29">
        <v>5</v>
      </c>
      <c r="V29">
        <v>0</v>
      </c>
      <c r="W29">
        <v>3419</v>
      </c>
      <c r="X29" t="s">
        <v>158</v>
      </c>
      <c r="Y29" t="s">
        <v>217</v>
      </c>
      <c r="Z29" t="s">
        <v>218</v>
      </c>
      <c r="AA29">
        <v>2960</v>
      </c>
      <c r="AB29">
        <v>4156</v>
      </c>
      <c r="AC29">
        <v>4156</v>
      </c>
      <c r="AD29">
        <v>0</v>
      </c>
      <c r="AE29">
        <v>0</v>
      </c>
      <c r="AF29">
        <v>2960</v>
      </c>
      <c r="AG29">
        <v>0</v>
      </c>
      <c r="AH29">
        <v>2873</v>
      </c>
      <c r="AI29">
        <v>0</v>
      </c>
      <c r="AJ29">
        <v>0</v>
      </c>
      <c r="AK29">
        <v>0</v>
      </c>
      <c r="AL29" t="s">
        <v>217</v>
      </c>
      <c r="AM29">
        <v>4156</v>
      </c>
      <c r="AN29">
        <v>4156</v>
      </c>
      <c r="AO29">
        <v>0</v>
      </c>
      <c r="AP29">
        <v>0</v>
      </c>
      <c r="AQ29">
        <v>2960</v>
      </c>
      <c r="AR29">
        <v>0</v>
      </c>
      <c r="AS29">
        <v>2873</v>
      </c>
      <c r="AT29">
        <v>0</v>
      </c>
      <c r="AU29" t="s">
        <v>110</v>
      </c>
      <c r="AV29" t="s">
        <v>160</v>
      </c>
      <c r="AW29">
        <v>330.92</v>
      </c>
      <c r="AX29">
        <v>334.51</v>
      </c>
      <c r="AY29" t="s">
        <v>112</v>
      </c>
      <c r="AZ29">
        <v>0</v>
      </c>
      <c r="BA29">
        <v>0</v>
      </c>
      <c r="BB29">
        <v>141.29716450216449</v>
      </c>
      <c r="BC29">
        <v>277.38499999999999</v>
      </c>
      <c r="BD29">
        <v>141.29716450216449</v>
      </c>
      <c r="BE29">
        <v>141.29716450216449</v>
      </c>
      <c r="BF29">
        <v>277.38499999999999</v>
      </c>
      <c r="BG29">
        <v>16955.65974025974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T29" t="s">
        <v>113</v>
      </c>
      <c r="CU29">
        <v>329.90180035650621</v>
      </c>
      <c r="CV29" s="8">
        <f t="shared" si="0"/>
        <v>0</v>
      </c>
      <c r="CW29">
        <f t="shared" si="1"/>
        <v>0</v>
      </c>
      <c r="CX29">
        <f t="shared" si="2"/>
        <v>0</v>
      </c>
      <c r="CY29" s="10">
        <f t="shared" si="3"/>
        <v>0</v>
      </c>
    </row>
    <row r="30" spans="1:103" x14ac:dyDescent="0.25">
      <c r="A30" s="2">
        <v>46082</v>
      </c>
      <c r="B30" t="s">
        <v>198</v>
      </c>
      <c r="C30" t="s">
        <v>98</v>
      </c>
      <c r="D30" t="s">
        <v>112</v>
      </c>
      <c r="E30">
        <v>1</v>
      </c>
      <c r="F30">
        <v>1</v>
      </c>
      <c r="G30" t="s">
        <v>161</v>
      </c>
      <c r="H30" t="s">
        <v>162</v>
      </c>
      <c r="I30" t="s">
        <v>150</v>
      </c>
      <c r="J30" t="s">
        <v>103</v>
      </c>
      <c r="K30" t="s">
        <v>104</v>
      </c>
      <c r="L30" t="s">
        <v>163</v>
      </c>
      <c r="M30">
        <v>2</v>
      </c>
      <c r="N30">
        <v>75</v>
      </c>
      <c r="O30">
        <v>96</v>
      </c>
      <c r="P30">
        <v>0.5</v>
      </c>
      <c r="Q30" t="s">
        <v>106</v>
      </c>
      <c r="R30" t="s">
        <v>107</v>
      </c>
      <c r="S30">
        <v>8.5800000000000001E-2</v>
      </c>
      <c r="T30">
        <v>3560</v>
      </c>
      <c r="U30">
        <v>8</v>
      </c>
      <c r="V30">
        <v>0</v>
      </c>
      <c r="W30">
        <v>3455</v>
      </c>
      <c r="X30" t="s">
        <v>164</v>
      </c>
      <c r="Y30" t="s">
        <v>219</v>
      </c>
      <c r="Z30" t="s">
        <v>220</v>
      </c>
      <c r="AA30">
        <v>6673</v>
      </c>
      <c r="AB30">
        <v>6858</v>
      </c>
      <c r="AC30">
        <v>6858</v>
      </c>
      <c r="AD30">
        <v>0</v>
      </c>
      <c r="AE30">
        <v>0</v>
      </c>
      <c r="AF30">
        <v>6673</v>
      </c>
      <c r="AG30">
        <v>0</v>
      </c>
      <c r="AH30">
        <v>6556</v>
      </c>
      <c r="AI30">
        <v>0</v>
      </c>
      <c r="AJ30">
        <v>0</v>
      </c>
      <c r="AK30">
        <v>0</v>
      </c>
      <c r="AM30">
        <v>6858</v>
      </c>
      <c r="AN30">
        <v>6858</v>
      </c>
      <c r="AO30">
        <v>0</v>
      </c>
      <c r="AP30">
        <v>0</v>
      </c>
      <c r="AQ30">
        <v>6673</v>
      </c>
      <c r="AR30">
        <v>0</v>
      </c>
      <c r="AS30">
        <v>6556</v>
      </c>
      <c r="AT30">
        <v>0</v>
      </c>
      <c r="AU30" t="s">
        <v>110</v>
      </c>
      <c r="AV30" t="s">
        <v>166</v>
      </c>
      <c r="AW30">
        <v>330.92</v>
      </c>
      <c r="AX30">
        <v>334.51</v>
      </c>
      <c r="AY30" t="s">
        <v>112</v>
      </c>
      <c r="AZ30">
        <v>13232</v>
      </c>
      <c r="BA30">
        <v>137.83333333333329</v>
      </c>
      <c r="BB30">
        <v>141.29716450216449</v>
      </c>
      <c r="BC30">
        <v>334.51</v>
      </c>
      <c r="BD30">
        <v>141.29716450216449</v>
      </c>
      <c r="BE30">
        <v>3.4638311688311769</v>
      </c>
      <c r="BF30">
        <v>196.67666666666659</v>
      </c>
      <c r="BG30">
        <v>13564.527792207789</v>
      </c>
      <c r="BH30">
        <v>13232</v>
      </c>
      <c r="BI30">
        <v>137.83333333333329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0.41651557274668599</v>
      </c>
      <c r="BV30">
        <v>0.41204547945751502</v>
      </c>
      <c r="BW30">
        <v>137.83333333333329</v>
      </c>
      <c r="BX30">
        <v>137.83333333333329</v>
      </c>
      <c r="BY30">
        <v>6858</v>
      </c>
      <c r="BZ30">
        <v>0</v>
      </c>
      <c r="CA30">
        <v>0</v>
      </c>
      <c r="CB30">
        <v>0</v>
      </c>
      <c r="CC30">
        <v>6371</v>
      </c>
      <c r="CD30">
        <v>6858</v>
      </c>
      <c r="CE30">
        <v>0</v>
      </c>
      <c r="CF30">
        <v>3</v>
      </c>
      <c r="CG30">
        <v>0</v>
      </c>
      <c r="CH30">
        <v>0</v>
      </c>
      <c r="CI30">
        <v>0</v>
      </c>
      <c r="CJ30">
        <v>66.364583333333329</v>
      </c>
      <c r="CK30">
        <v>71.4375</v>
      </c>
      <c r="CL30">
        <v>0</v>
      </c>
      <c r="CM30">
        <v>3.125E-2</v>
      </c>
      <c r="CT30" t="s">
        <v>113</v>
      </c>
      <c r="CU30">
        <v>329.90180035650621</v>
      </c>
      <c r="CV30" s="8">
        <f t="shared" si="0"/>
        <v>0.16422471086224466</v>
      </c>
      <c r="CW30">
        <f t="shared" si="1"/>
        <v>54.178027776481194</v>
      </c>
      <c r="CX30">
        <f t="shared" si="2"/>
        <v>12.186555556852134</v>
      </c>
      <c r="CY30" s="10">
        <f t="shared" si="3"/>
        <v>1169.9093334578049</v>
      </c>
    </row>
    <row r="31" spans="1:103" x14ac:dyDescent="0.25">
      <c r="A31" s="2">
        <v>46082</v>
      </c>
      <c r="B31" t="s">
        <v>198</v>
      </c>
      <c r="C31" t="s">
        <v>98</v>
      </c>
      <c r="D31" t="s">
        <v>112</v>
      </c>
      <c r="E31">
        <v>1</v>
      </c>
      <c r="F31">
        <v>2</v>
      </c>
      <c r="G31" t="s">
        <v>167</v>
      </c>
      <c r="H31" t="s">
        <v>168</v>
      </c>
      <c r="I31" t="s">
        <v>169</v>
      </c>
      <c r="J31" t="s">
        <v>103</v>
      </c>
      <c r="K31" t="s">
        <v>104</v>
      </c>
      <c r="L31" t="s">
        <v>170</v>
      </c>
      <c r="M31">
        <v>4</v>
      </c>
      <c r="N31">
        <v>55</v>
      </c>
      <c r="O31">
        <v>260</v>
      </c>
      <c r="P31">
        <v>1.5</v>
      </c>
      <c r="Q31" t="s">
        <v>106</v>
      </c>
      <c r="R31" t="s">
        <v>107</v>
      </c>
      <c r="S31">
        <v>0</v>
      </c>
      <c r="W31">
        <v>3889</v>
      </c>
      <c r="X31" t="s">
        <v>171</v>
      </c>
      <c r="Y31" t="s">
        <v>221</v>
      </c>
      <c r="Z31" t="s">
        <v>222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s">
        <v>110</v>
      </c>
      <c r="AV31" t="s">
        <v>173</v>
      </c>
      <c r="AW31">
        <v>330.92</v>
      </c>
      <c r="AX31">
        <v>334.51</v>
      </c>
      <c r="AY31" t="s">
        <v>112</v>
      </c>
      <c r="AZ31">
        <v>0</v>
      </c>
      <c r="BA31">
        <v>0</v>
      </c>
      <c r="BB31">
        <v>3.4638311688311769</v>
      </c>
      <c r="BC31">
        <v>188.58692307692311</v>
      </c>
      <c r="BD31">
        <v>3.4638311688311769</v>
      </c>
      <c r="BE31">
        <v>3.4638311688311769</v>
      </c>
      <c r="BF31">
        <v>188.58692307692311</v>
      </c>
      <c r="BG31">
        <v>900.59610389610611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T31" t="s">
        <v>113</v>
      </c>
      <c r="CU31">
        <v>329.90180035650621</v>
      </c>
      <c r="CV31" s="8">
        <f t="shared" si="0"/>
        <v>0</v>
      </c>
      <c r="CW31">
        <f t="shared" si="1"/>
        <v>0</v>
      </c>
      <c r="CX31">
        <f t="shared" si="2"/>
        <v>0</v>
      </c>
      <c r="CY31" s="10">
        <f t="shared" si="3"/>
        <v>0</v>
      </c>
    </row>
    <row r="32" spans="1:103" x14ac:dyDescent="0.25">
      <c r="A32" s="2">
        <v>46082</v>
      </c>
      <c r="B32" t="s">
        <v>198</v>
      </c>
      <c r="C32" t="s">
        <v>98</v>
      </c>
      <c r="D32" t="s">
        <v>112</v>
      </c>
      <c r="E32">
        <v>1</v>
      </c>
      <c r="F32">
        <v>1</v>
      </c>
      <c r="G32" t="s">
        <v>182</v>
      </c>
      <c r="H32" t="s">
        <v>183</v>
      </c>
      <c r="I32" t="s">
        <v>102</v>
      </c>
      <c r="J32" t="s">
        <v>103</v>
      </c>
      <c r="K32" t="s">
        <v>104</v>
      </c>
      <c r="L32" t="s">
        <v>122</v>
      </c>
      <c r="M32">
        <v>1</v>
      </c>
      <c r="N32">
        <v>85</v>
      </c>
      <c r="O32">
        <v>42</v>
      </c>
      <c r="P32">
        <v>0.5</v>
      </c>
      <c r="Q32" t="s">
        <v>106</v>
      </c>
      <c r="R32" t="s">
        <v>107</v>
      </c>
      <c r="S32">
        <v>0</v>
      </c>
      <c r="W32">
        <v>3974</v>
      </c>
      <c r="X32" t="s">
        <v>184</v>
      </c>
      <c r="Y32" t="s">
        <v>223</v>
      </c>
      <c r="Z32" t="s">
        <v>224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110</v>
      </c>
      <c r="AV32" t="s">
        <v>125</v>
      </c>
      <c r="AW32">
        <v>330.92</v>
      </c>
      <c r="AX32">
        <v>334.51</v>
      </c>
      <c r="AY32" t="s">
        <v>112</v>
      </c>
      <c r="AZ32">
        <v>0</v>
      </c>
      <c r="BA32">
        <v>0</v>
      </c>
      <c r="BB32">
        <v>3.4638311688311769</v>
      </c>
      <c r="BC32">
        <v>237.84333333333331</v>
      </c>
      <c r="BD32">
        <v>3.4638311688311769</v>
      </c>
      <c r="BE32">
        <v>3.4638311688311769</v>
      </c>
      <c r="BF32">
        <v>237.84333333333331</v>
      </c>
      <c r="BG32">
        <v>145.48090909090939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T32" t="s">
        <v>113</v>
      </c>
      <c r="CU32">
        <v>329.90180035650621</v>
      </c>
      <c r="CV32" s="8">
        <f t="shared" si="0"/>
        <v>0</v>
      </c>
      <c r="CW32">
        <f t="shared" si="1"/>
        <v>0</v>
      </c>
      <c r="CX32">
        <f t="shared" si="2"/>
        <v>0</v>
      </c>
      <c r="CY32" s="10">
        <f t="shared" si="3"/>
        <v>0</v>
      </c>
    </row>
    <row r="33" spans="1:103" x14ac:dyDescent="0.25">
      <c r="A33" s="2">
        <v>46082</v>
      </c>
      <c r="B33" t="s">
        <v>198</v>
      </c>
      <c r="C33" t="s">
        <v>98</v>
      </c>
      <c r="D33" t="s">
        <v>112</v>
      </c>
      <c r="E33">
        <v>1</v>
      </c>
      <c r="F33">
        <v>2</v>
      </c>
      <c r="G33" t="s">
        <v>190</v>
      </c>
      <c r="H33" t="s">
        <v>191</v>
      </c>
      <c r="I33" t="s">
        <v>102</v>
      </c>
      <c r="J33" t="s">
        <v>103</v>
      </c>
      <c r="K33" t="s">
        <v>104</v>
      </c>
      <c r="L33" t="s">
        <v>116</v>
      </c>
      <c r="M33">
        <v>2</v>
      </c>
      <c r="N33">
        <v>70</v>
      </c>
      <c r="O33">
        <v>102</v>
      </c>
      <c r="P33">
        <v>2</v>
      </c>
      <c r="Q33" t="s">
        <v>106</v>
      </c>
      <c r="R33" t="s">
        <v>107</v>
      </c>
      <c r="S33">
        <v>0</v>
      </c>
      <c r="W33">
        <v>3983</v>
      </c>
      <c r="X33" t="s">
        <v>192</v>
      </c>
      <c r="Y33" t="s">
        <v>225</v>
      </c>
      <c r="Z33" t="s">
        <v>226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225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110</v>
      </c>
      <c r="AV33" t="s">
        <v>119</v>
      </c>
      <c r="AW33">
        <v>330.92</v>
      </c>
      <c r="AX33">
        <v>334.51</v>
      </c>
      <c r="AY33" t="s">
        <v>112</v>
      </c>
      <c r="AZ33">
        <v>0</v>
      </c>
      <c r="BA33">
        <v>0</v>
      </c>
      <c r="BB33">
        <v>3.4638311688311769</v>
      </c>
      <c r="BC33">
        <v>265.88254901960778</v>
      </c>
      <c r="BD33">
        <v>3.4638311688311769</v>
      </c>
      <c r="BE33">
        <v>3.4638311688311769</v>
      </c>
      <c r="BF33">
        <v>265.88254901960778</v>
      </c>
      <c r="BG33">
        <v>353.31077922078009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 t="s">
        <v>113</v>
      </c>
      <c r="CU33">
        <v>329.90180035650621</v>
      </c>
      <c r="CV33" s="8">
        <f t="shared" si="0"/>
        <v>0</v>
      </c>
      <c r="CW33">
        <f t="shared" si="1"/>
        <v>0</v>
      </c>
      <c r="CX33">
        <f t="shared" si="2"/>
        <v>0</v>
      </c>
      <c r="CY33" s="10">
        <f t="shared" si="3"/>
        <v>0</v>
      </c>
    </row>
    <row r="34" spans="1:103" hidden="1" x14ac:dyDescent="0.25">
      <c r="A34" s="2">
        <v>46082</v>
      </c>
      <c r="B34" t="s">
        <v>98</v>
      </c>
      <c r="C34" t="s">
        <v>98</v>
      </c>
      <c r="D34" t="s">
        <v>99</v>
      </c>
      <c r="E34">
        <v>1</v>
      </c>
      <c r="F34">
        <v>2</v>
      </c>
      <c r="G34" t="s">
        <v>227</v>
      </c>
      <c r="H34" t="s">
        <v>228</v>
      </c>
      <c r="I34" t="s">
        <v>150</v>
      </c>
      <c r="J34" t="s">
        <v>103</v>
      </c>
      <c r="K34" t="s">
        <v>113</v>
      </c>
      <c r="L34" t="s">
        <v>229</v>
      </c>
      <c r="M34">
        <v>4</v>
      </c>
      <c r="N34">
        <v>35</v>
      </c>
      <c r="O34">
        <v>408</v>
      </c>
      <c r="P34">
        <v>0.25</v>
      </c>
      <c r="Q34" t="s">
        <v>106</v>
      </c>
      <c r="R34" t="s">
        <v>107</v>
      </c>
      <c r="S34">
        <v>2.6700000000000002E-2</v>
      </c>
      <c r="T34">
        <v>0</v>
      </c>
      <c r="U34">
        <v>1</v>
      </c>
      <c r="V34">
        <v>0</v>
      </c>
      <c r="W34">
        <v>4705</v>
      </c>
      <c r="X34" t="s">
        <v>230</v>
      </c>
      <c r="Y34" t="s">
        <v>230</v>
      </c>
      <c r="Z34" t="s">
        <v>231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230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8304</v>
      </c>
      <c r="AU34" t="s">
        <v>110</v>
      </c>
      <c r="AV34" t="s">
        <v>232</v>
      </c>
      <c r="AW34">
        <v>330.92</v>
      </c>
      <c r="AX34">
        <v>334.51</v>
      </c>
      <c r="AY34" t="s">
        <v>99</v>
      </c>
      <c r="AZ34">
        <v>8304</v>
      </c>
      <c r="BA34">
        <v>20.352941176470591</v>
      </c>
      <c r="BB34">
        <v>3.4638311688311769</v>
      </c>
      <c r="BC34">
        <v>334.51</v>
      </c>
      <c r="BD34">
        <v>3.4638311688311769</v>
      </c>
      <c r="BE34">
        <v>0</v>
      </c>
      <c r="BF34">
        <v>331.04616883116881</v>
      </c>
      <c r="BG34">
        <v>1413.2431168831199</v>
      </c>
      <c r="BH34">
        <v>1413.2431168831199</v>
      </c>
      <c r="BI34">
        <v>3.4638311688311769</v>
      </c>
      <c r="BJ34">
        <v>6890.7568831168792</v>
      </c>
      <c r="BK34">
        <v>16.88911000763941</v>
      </c>
      <c r="BL34">
        <v>6890</v>
      </c>
      <c r="BM34">
        <v>16.88725490196078</v>
      </c>
      <c r="BN34">
        <v>0</v>
      </c>
      <c r="BO34">
        <v>6890.7568831168792</v>
      </c>
      <c r="BP34">
        <v>0</v>
      </c>
      <c r="BQ34">
        <v>6890</v>
      </c>
      <c r="BR34">
        <v>16.88725490196078</v>
      </c>
      <c r="BS34">
        <v>0</v>
      </c>
      <c r="BT34">
        <v>0</v>
      </c>
      <c r="BU34">
        <v>6.1498507405995287E-2</v>
      </c>
      <c r="BV34">
        <v>1.035494056629451E-2</v>
      </c>
      <c r="BW34">
        <v>3.4638311688311769</v>
      </c>
      <c r="BX34">
        <v>20.351086070791961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8304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20.352941176470591</v>
      </c>
      <c r="CT34" t="s">
        <v>113</v>
      </c>
      <c r="CY34"/>
    </row>
    <row r="35" spans="1:103" hidden="1" x14ac:dyDescent="0.25">
      <c r="A35" s="2">
        <v>46082</v>
      </c>
      <c r="B35" t="s">
        <v>98</v>
      </c>
      <c r="C35" t="s">
        <v>98</v>
      </c>
      <c r="D35" t="s">
        <v>99</v>
      </c>
      <c r="E35">
        <v>1</v>
      </c>
      <c r="F35">
        <v>1</v>
      </c>
      <c r="G35" t="s">
        <v>233</v>
      </c>
      <c r="H35" t="s">
        <v>234</v>
      </c>
      <c r="I35" t="s">
        <v>150</v>
      </c>
      <c r="J35" t="s">
        <v>103</v>
      </c>
      <c r="K35" t="s">
        <v>113</v>
      </c>
      <c r="L35" t="s">
        <v>235</v>
      </c>
      <c r="M35">
        <v>4</v>
      </c>
      <c r="N35">
        <v>38</v>
      </c>
      <c r="O35">
        <v>376</v>
      </c>
      <c r="P35">
        <v>0.25</v>
      </c>
      <c r="Q35" t="s">
        <v>106</v>
      </c>
      <c r="R35" t="s">
        <v>107</v>
      </c>
      <c r="S35">
        <v>4.5600000000000002E-2</v>
      </c>
      <c r="T35">
        <v>0</v>
      </c>
      <c r="U35">
        <v>1</v>
      </c>
      <c r="V35">
        <v>0</v>
      </c>
      <c r="W35">
        <v>4706</v>
      </c>
      <c r="X35" t="s">
        <v>236</v>
      </c>
      <c r="Y35" t="s">
        <v>236</v>
      </c>
      <c r="Z35" t="s">
        <v>237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60048</v>
      </c>
      <c r="AU35" t="s">
        <v>110</v>
      </c>
      <c r="AV35" t="s">
        <v>238</v>
      </c>
      <c r="AW35">
        <v>330.92</v>
      </c>
      <c r="AX35">
        <v>334.51</v>
      </c>
      <c r="AY35" t="s">
        <v>99</v>
      </c>
      <c r="AZ35">
        <v>60048</v>
      </c>
      <c r="BA35">
        <v>159.7021276595745</v>
      </c>
      <c r="BB35">
        <v>0</v>
      </c>
      <c r="BC35">
        <v>334.51</v>
      </c>
      <c r="BD35">
        <v>0</v>
      </c>
      <c r="BE35">
        <v>0</v>
      </c>
      <c r="BF35">
        <v>334.51</v>
      </c>
      <c r="BG35">
        <v>0</v>
      </c>
      <c r="BH35">
        <v>0</v>
      </c>
      <c r="BI35">
        <v>0</v>
      </c>
      <c r="BJ35">
        <v>60048</v>
      </c>
      <c r="BK35">
        <v>159.7021276595745</v>
      </c>
      <c r="BL35">
        <v>0</v>
      </c>
      <c r="BM35">
        <v>0</v>
      </c>
      <c r="BN35">
        <v>0</v>
      </c>
      <c r="BO35">
        <v>60048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60048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159.7021276595745</v>
      </c>
      <c r="CT35" t="s">
        <v>113</v>
      </c>
      <c r="CY35"/>
    </row>
    <row r="36" spans="1:103" hidden="1" x14ac:dyDescent="0.25">
      <c r="A36" s="2">
        <v>46082</v>
      </c>
      <c r="B36" t="s">
        <v>98</v>
      </c>
      <c r="C36" t="s">
        <v>98</v>
      </c>
      <c r="D36" t="s">
        <v>99</v>
      </c>
      <c r="E36">
        <v>1</v>
      </c>
      <c r="F36">
        <v>1</v>
      </c>
      <c r="G36" t="s">
        <v>239</v>
      </c>
      <c r="H36" t="s">
        <v>240</v>
      </c>
      <c r="I36" t="s">
        <v>150</v>
      </c>
      <c r="J36" t="s">
        <v>103</v>
      </c>
      <c r="K36" t="s">
        <v>113</v>
      </c>
      <c r="L36" t="s">
        <v>241</v>
      </c>
      <c r="M36">
        <v>2</v>
      </c>
      <c r="N36">
        <v>40</v>
      </c>
      <c r="O36">
        <v>180</v>
      </c>
      <c r="P36">
        <v>0.25</v>
      </c>
      <c r="Q36" t="s">
        <v>106</v>
      </c>
      <c r="R36" t="s">
        <v>107</v>
      </c>
      <c r="S36">
        <v>6.7400000000000002E-2</v>
      </c>
      <c r="T36">
        <v>6336</v>
      </c>
      <c r="U36">
        <v>12</v>
      </c>
      <c r="V36">
        <v>0</v>
      </c>
      <c r="W36">
        <v>4708</v>
      </c>
      <c r="X36" t="s">
        <v>242</v>
      </c>
      <c r="Y36" t="s">
        <v>242</v>
      </c>
      <c r="Z36" t="s">
        <v>243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31020</v>
      </c>
      <c r="AU36" t="s">
        <v>110</v>
      </c>
      <c r="AV36" t="s">
        <v>244</v>
      </c>
      <c r="AW36">
        <v>330.92</v>
      </c>
      <c r="AX36">
        <v>334.51</v>
      </c>
      <c r="AY36" t="s">
        <v>99</v>
      </c>
      <c r="AZ36">
        <v>31020</v>
      </c>
      <c r="BA36">
        <v>172.33333333333329</v>
      </c>
      <c r="BB36">
        <v>0</v>
      </c>
      <c r="BC36">
        <v>334.51</v>
      </c>
      <c r="BD36">
        <v>0</v>
      </c>
      <c r="BE36">
        <v>0</v>
      </c>
      <c r="BF36">
        <v>334.51</v>
      </c>
      <c r="BG36">
        <v>0</v>
      </c>
      <c r="BH36">
        <v>0</v>
      </c>
      <c r="BI36">
        <v>0</v>
      </c>
      <c r="BJ36">
        <v>31020</v>
      </c>
      <c r="BK36">
        <v>172.33333333333329</v>
      </c>
      <c r="BL36">
        <v>0</v>
      </c>
      <c r="BM36">
        <v>0</v>
      </c>
      <c r="BN36">
        <v>0</v>
      </c>
      <c r="BO36">
        <v>31020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31020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172.33333333333329</v>
      </c>
      <c r="CT36" t="s">
        <v>113</v>
      </c>
      <c r="CY36"/>
    </row>
    <row r="37" spans="1:103" hidden="1" x14ac:dyDescent="0.25">
      <c r="A37" s="2">
        <v>46082</v>
      </c>
      <c r="B37" t="s">
        <v>98</v>
      </c>
      <c r="C37" t="s">
        <v>98</v>
      </c>
      <c r="D37" t="s">
        <v>99</v>
      </c>
      <c r="E37">
        <v>1</v>
      </c>
      <c r="F37">
        <v>1</v>
      </c>
      <c r="G37" t="s">
        <v>245</v>
      </c>
      <c r="H37" t="s">
        <v>246</v>
      </c>
      <c r="I37" t="s">
        <v>150</v>
      </c>
      <c r="J37" t="s">
        <v>103</v>
      </c>
      <c r="K37" t="s">
        <v>113</v>
      </c>
      <c r="L37" t="s">
        <v>247</v>
      </c>
      <c r="M37">
        <v>4</v>
      </c>
      <c r="N37">
        <v>60</v>
      </c>
      <c r="O37">
        <v>240</v>
      </c>
      <c r="P37">
        <v>0.25</v>
      </c>
      <c r="Q37" t="s">
        <v>106</v>
      </c>
      <c r="R37" t="s">
        <v>107</v>
      </c>
      <c r="S37">
        <v>5.1499999999999997E-2</v>
      </c>
      <c r="T37">
        <v>0</v>
      </c>
      <c r="U37">
        <v>1</v>
      </c>
      <c r="V37">
        <v>0</v>
      </c>
      <c r="W37">
        <v>4711</v>
      </c>
      <c r="X37" t="s">
        <v>248</v>
      </c>
      <c r="Y37" t="s">
        <v>248</v>
      </c>
      <c r="Z37" t="s">
        <v>249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42550</v>
      </c>
      <c r="AU37" t="s">
        <v>110</v>
      </c>
      <c r="AV37" t="s">
        <v>250</v>
      </c>
      <c r="AW37">
        <v>330.92</v>
      </c>
      <c r="AX37">
        <v>334.51</v>
      </c>
      <c r="AY37" t="s">
        <v>99</v>
      </c>
      <c r="AZ37">
        <v>42550</v>
      </c>
      <c r="BA37">
        <v>177.29166666666671</v>
      </c>
      <c r="BB37">
        <v>0</v>
      </c>
      <c r="BC37">
        <v>334.51</v>
      </c>
      <c r="BD37">
        <v>0</v>
      </c>
      <c r="BE37">
        <v>0</v>
      </c>
      <c r="BF37">
        <v>334.51</v>
      </c>
      <c r="BG37">
        <v>0</v>
      </c>
      <c r="BH37">
        <v>0</v>
      </c>
      <c r="BI37">
        <v>0</v>
      </c>
      <c r="BJ37">
        <v>42550</v>
      </c>
      <c r="BK37">
        <v>177.29166666666671</v>
      </c>
      <c r="BL37">
        <v>0</v>
      </c>
      <c r="BM37">
        <v>0</v>
      </c>
      <c r="BN37">
        <v>0</v>
      </c>
      <c r="BO37">
        <v>42550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42550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177.29166666666671</v>
      </c>
      <c r="CT37" t="s">
        <v>113</v>
      </c>
      <c r="CY37"/>
    </row>
    <row r="38" spans="1:103" hidden="1" x14ac:dyDescent="0.25">
      <c r="A38" s="2">
        <v>46082</v>
      </c>
      <c r="B38" t="s">
        <v>98</v>
      </c>
      <c r="C38" t="s">
        <v>98</v>
      </c>
      <c r="D38" t="s">
        <v>99</v>
      </c>
      <c r="E38">
        <v>1</v>
      </c>
      <c r="F38">
        <v>1</v>
      </c>
      <c r="G38" t="s">
        <v>251</v>
      </c>
      <c r="H38" t="s">
        <v>252</v>
      </c>
      <c r="I38" t="s">
        <v>150</v>
      </c>
      <c r="J38" t="s">
        <v>103</v>
      </c>
      <c r="K38" t="s">
        <v>113</v>
      </c>
      <c r="L38" t="s">
        <v>253</v>
      </c>
      <c r="M38">
        <v>4</v>
      </c>
      <c r="N38">
        <v>60</v>
      </c>
      <c r="O38">
        <v>240</v>
      </c>
      <c r="P38">
        <v>0.25</v>
      </c>
      <c r="Q38" t="s">
        <v>106</v>
      </c>
      <c r="R38" t="s">
        <v>107</v>
      </c>
      <c r="S38">
        <v>5.8099999999999999E-2</v>
      </c>
      <c r="T38">
        <v>0</v>
      </c>
      <c r="U38">
        <v>1</v>
      </c>
      <c r="V38">
        <v>0</v>
      </c>
      <c r="W38">
        <v>4714</v>
      </c>
      <c r="X38" t="s">
        <v>254</v>
      </c>
      <c r="Y38" t="s">
        <v>254</v>
      </c>
      <c r="Z38" t="s">
        <v>255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20920</v>
      </c>
      <c r="AU38" t="s">
        <v>110</v>
      </c>
      <c r="AV38" t="s">
        <v>256</v>
      </c>
      <c r="AW38">
        <v>330.92</v>
      </c>
      <c r="AX38">
        <v>334.51</v>
      </c>
      <c r="AY38" t="s">
        <v>99</v>
      </c>
      <c r="AZ38">
        <v>20920</v>
      </c>
      <c r="BA38">
        <v>87.166666666666671</v>
      </c>
      <c r="BB38">
        <v>0</v>
      </c>
      <c r="BC38">
        <v>334.51</v>
      </c>
      <c r="BD38">
        <v>0</v>
      </c>
      <c r="BE38">
        <v>0</v>
      </c>
      <c r="BF38">
        <v>334.51</v>
      </c>
      <c r="BG38">
        <v>0</v>
      </c>
      <c r="BH38">
        <v>0</v>
      </c>
      <c r="BI38">
        <v>0</v>
      </c>
      <c r="BJ38">
        <v>20920</v>
      </c>
      <c r="BK38">
        <v>87.166666666666671</v>
      </c>
      <c r="BL38">
        <v>0</v>
      </c>
      <c r="BM38">
        <v>0</v>
      </c>
      <c r="BN38">
        <v>0</v>
      </c>
      <c r="BO38">
        <v>20920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20920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87.166666666666671</v>
      </c>
      <c r="CT38" t="s">
        <v>113</v>
      </c>
      <c r="CY38"/>
    </row>
    <row r="39" spans="1:103" hidden="1" x14ac:dyDescent="0.25">
      <c r="A39" s="2">
        <v>46082</v>
      </c>
      <c r="B39" t="s">
        <v>98</v>
      </c>
      <c r="C39" t="s">
        <v>98</v>
      </c>
      <c r="D39" t="s">
        <v>99</v>
      </c>
      <c r="E39">
        <v>1</v>
      </c>
      <c r="F39">
        <v>1</v>
      </c>
      <c r="G39" t="s">
        <v>257</v>
      </c>
      <c r="H39" t="s">
        <v>258</v>
      </c>
      <c r="I39" t="s">
        <v>150</v>
      </c>
      <c r="J39" t="s">
        <v>103</v>
      </c>
      <c r="K39" t="s">
        <v>113</v>
      </c>
      <c r="L39" t="s">
        <v>259</v>
      </c>
      <c r="M39">
        <v>2</v>
      </c>
      <c r="N39">
        <v>33</v>
      </c>
      <c r="O39">
        <v>218</v>
      </c>
      <c r="P39">
        <v>0.25</v>
      </c>
      <c r="Q39" t="s">
        <v>106</v>
      </c>
      <c r="R39" t="s">
        <v>107</v>
      </c>
      <c r="S39">
        <v>2.5399999999999999E-2</v>
      </c>
      <c r="T39">
        <v>0</v>
      </c>
      <c r="U39">
        <v>1</v>
      </c>
      <c r="V39">
        <v>0</v>
      </c>
      <c r="W39">
        <v>4721</v>
      </c>
      <c r="X39" t="s">
        <v>260</v>
      </c>
      <c r="Y39" t="s">
        <v>260</v>
      </c>
      <c r="Z39" t="s">
        <v>261</v>
      </c>
      <c r="AA39">
        <v>0</v>
      </c>
      <c r="AB39">
        <v>0</v>
      </c>
      <c r="AC39">
        <v>2598.4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2598.4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8931.6</v>
      </c>
      <c r="AU39" t="s">
        <v>110</v>
      </c>
      <c r="AV39" t="s">
        <v>262</v>
      </c>
      <c r="AW39">
        <v>330.92</v>
      </c>
      <c r="AX39">
        <v>334.51</v>
      </c>
      <c r="AY39" t="s">
        <v>99</v>
      </c>
      <c r="AZ39">
        <v>8931.6</v>
      </c>
      <c r="BA39">
        <v>40.970642201834863</v>
      </c>
      <c r="BB39">
        <v>0</v>
      </c>
      <c r="BC39">
        <v>334.51</v>
      </c>
      <c r="BD39">
        <v>0</v>
      </c>
      <c r="BE39">
        <v>0</v>
      </c>
      <c r="BF39">
        <v>334.51</v>
      </c>
      <c r="BG39">
        <v>0</v>
      </c>
      <c r="BH39">
        <v>0</v>
      </c>
      <c r="BI39">
        <v>0</v>
      </c>
      <c r="BJ39">
        <v>8931.6</v>
      </c>
      <c r="BK39">
        <v>40.970642201834863</v>
      </c>
      <c r="BL39">
        <v>0</v>
      </c>
      <c r="BM39">
        <v>0</v>
      </c>
      <c r="BN39">
        <v>0</v>
      </c>
      <c r="BO39">
        <v>8931.6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2598.4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8931.6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40.970642201834863</v>
      </c>
      <c r="CT39" t="s">
        <v>113</v>
      </c>
      <c r="CY39"/>
    </row>
    <row r="40" spans="1:103" hidden="1" x14ac:dyDescent="0.25">
      <c r="A40" s="2">
        <v>46082</v>
      </c>
      <c r="B40" t="s">
        <v>98</v>
      </c>
      <c r="C40" t="s">
        <v>98</v>
      </c>
      <c r="D40" t="s">
        <v>99</v>
      </c>
      <c r="E40">
        <v>1</v>
      </c>
      <c r="F40">
        <v>2</v>
      </c>
      <c r="G40" t="s">
        <v>263</v>
      </c>
      <c r="H40" t="s">
        <v>264</v>
      </c>
      <c r="I40" t="s">
        <v>150</v>
      </c>
      <c r="J40" t="s">
        <v>103</v>
      </c>
      <c r="K40" t="s">
        <v>113</v>
      </c>
      <c r="L40" t="s">
        <v>259</v>
      </c>
      <c r="M40">
        <v>2</v>
      </c>
      <c r="N40">
        <v>36</v>
      </c>
      <c r="O40">
        <v>200</v>
      </c>
      <c r="P40">
        <v>0.25</v>
      </c>
      <c r="Q40" t="s">
        <v>106</v>
      </c>
      <c r="R40" t="s">
        <v>107</v>
      </c>
      <c r="S40">
        <v>4.1700000000000001E-2</v>
      </c>
      <c r="T40">
        <v>0</v>
      </c>
      <c r="U40">
        <v>1</v>
      </c>
      <c r="V40">
        <v>0</v>
      </c>
      <c r="W40">
        <v>4724</v>
      </c>
      <c r="X40" t="s">
        <v>265</v>
      </c>
      <c r="Y40" t="s">
        <v>265</v>
      </c>
      <c r="Z40" t="s">
        <v>266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265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50190</v>
      </c>
      <c r="AU40" t="s">
        <v>110</v>
      </c>
      <c r="AV40" t="s">
        <v>262</v>
      </c>
      <c r="AW40">
        <v>330.92</v>
      </c>
      <c r="AX40">
        <v>334.51</v>
      </c>
      <c r="AY40" t="s">
        <v>99</v>
      </c>
      <c r="AZ40">
        <v>50190</v>
      </c>
      <c r="BA40">
        <v>250.95</v>
      </c>
      <c r="BB40">
        <v>0</v>
      </c>
      <c r="BC40">
        <v>334.51</v>
      </c>
      <c r="BD40">
        <v>0</v>
      </c>
      <c r="BE40">
        <v>0</v>
      </c>
      <c r="BF40">
        <v>334.51</v>
      </c>
      <c r="BG40">
        <v>0</v>
      </c>
      <c r="BH40">
        <v>0</v>
      </c>
      <c r="BI40">
        <v>0</v>
      </c>
      <c r="BJ40">
        <v>50190</v>
      </c>
      <c r="BK40">
        <v>250.95</v>
      </c>
      <c r="BL40">
        <v>50190</v>
      </c>
      <c r="BM40">
        <v>250.95</v>
      </c>
      <c r="BN40">
        <v>0</v>
      </c>
      <c r="BO40">
        <v>50190</v>
      </c>
      <c r="BP40">
        <v>0</v>
      </c>
      <c r="BQ40">
        <v>50190</v>
      </c>
      <c r="BR40">
        <v>250.95</v>
      </c>
      <c r="BS40">
        <v>0</v>
      </c>
      <c r="BT40">
        <v>0</v>
      </c>
      <c r="BU40">
        <v>0.75834038438293239</v>
      </c>
      <c r="BV40">
        <v>0</v>
      </c>
      <c r="BW40">
        <v>0</v>
      </c>
      <c r="BX40">
        <v>250.95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50190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250.95</v>
      </c>
      <c r="CT40" t="s">
        <v>113</v>
      </c>
      <c r="CY40"/>
    </row>
    <row r="41" spans="1:103" hidden="1" x14ac:dyDescent="0.25">
      <c r="A41" s="2">
        <v>46082</v>
      </c>
      <c r="B41" t="s">
        <v>98</v>
      </c>
      <c r="C41" t="s">
        <v>98</v>
      </c>
      <c r="D41" t="s">
        <v>99</v>
      </c>
      <c r="E41">
        <v>1</v>
      </c>
      <c r="F41">
        <v>2</v>
      </c>
      <c r="G41" t="s">
        <v>267</v>
      </c>
      <c r="H41" t="s">
        <v>268</v>
      </c>
      <c r="I41" t="s">
        <v>150</v>
      </c>
      <c r="J41" t="s">
        <v>103</v>
      </c>
      <c r="K41" t="s">
        <v>113</v>
      </c>
      <c r="L41" t="s">
        <v>241</v>
      </c>
      <c r="M41">
        <v>2</v>
      </c>
      <c r="N41">
        <v>40</v>
      </c>
      <c r="O41">
        <v>180</v>
      </c>
      <c r="P41">
        <v>0.25</v>
      </c>
      <c r="Q41" t="s">
        <v>106</v>
      </c>
      <c r="R41" t="s">
        <v>107</v>
      </c>
      <c r="S41">
        <v>6.5299999999999997E-2</v>
      </c>
      <c r="T41">
        <v>2240</v>
      </c>
      <c r="U41">
        <v>1</v>
      </c>
      <c r="V41">
        <v>0</v>
      </c>
      <c r="W41">
        <v>4726</v>
      </c>
      <c r="X41" t="s">
        <v>269</v>
      </c>
      <c r="Y41" t="s">
        <v>269</v>
      </c>
      <c r="Z41" t="s">
        <v>270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269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15200</v>
      </c>
      <c r="AU41" t="s">
        <v>110</v>
      </c>
      <c r="AV41" t="s">
        <v>244</v>
      </c>
      <c r="AW41">
        <v>330.92</v>
      </c>
      <c r="AX41">
        <v>334.51</v>
      </c>
      <c r="AY41" t="s">
        <v>99</v>
      </c>
      <c r="AZ41">
        <v>15200</v>
      </c>
      <c r="BA41">
        <v>84.444444444444443</v>
      </c>
      <c r="BB41">
        <v>0</v>
      </c>
      <c r="BC41">
        <v>334.51</v>
      </c>
      <c r="BD41">
        <v>0</v>
      </c>
      <c r="BE41">
        <v>0</v>
      </c>
      <c r="BF41">
        <v>334.51</v>
      </c>
      <c r="BG41">
        <v>0</v>
      </c>
      <c r="BH41">
        <v>0</v>
      </c>
      <c r="BI41">
        <v>0</v>
      </c>
      <c r="BJ41">
        <v>15200</v>
      </c>
      <c r="BK41">
        <v>84.444444444444443</v>
      </c>
      <c r="BL41">
        <v>15200</v>
      </c>
      <c r="BM41">
        <v>84.444444444444443</v>
      </c>
      <c r="BN41">
        <v>0</v>
      </c>
      <c r="BO41">
        <v>15200</v>
      </c>
      <c r="BP41">
        <v>0</v>
      </c>
      <c r="BQ41">
        <v>15200</v>
      </c>
      <c r="BR41">
        <v>84.444444444444443</v>
      </c>
      <c r="BS41">
        <v>0</v>
      </c>
      <c r="BT41">
        <v>0</v>
      </c>
      <c r="BU41">
        <v>0.25518084263400348</v>
      </c>
      <c r="BV41">
        <v>0</v>
      </c>
      <c r="BW41">
        <v>0</v>
      </c>
      <c r="BX41">
        <v>84.444444444444429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15200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84.444444444444443</v>
      </c>
      <c r="CT41" t="s">
        <v>113</v>
      </c>
      <c r="CY41"/>
    </row>
    <row r="42" spans="1:103" hidden="1" x14ac:dyDescent="0.25">
      <c r="A42" s="2">
        <v>46082</v>
      </c>
      <c r="B42" t="s">
        <v>98</v>
      </c>
      <c r="C42" t="s">
        <v>98</v>
      </c>
      <c r="D42" t="s">
        <v>99</v>
      </c>
      <c r="E42">
        <v>1</v>
      </c>
      <c r="F42">
        <v>1</v>
      </c>
      <c r="G42" t="s">
        <v>271</v>
      </c>
      <c r="H42" t="s">
        <v>272</v>
      </c>
      <c r="I42" t="s">
        <v>150</v>
      </c>
      <c r="J42" t="s">
        <v>103</v>
      </c>
      <c r="K42" t="s">
        <v>104</v>
      </c>
      <c r="L42" t="s">
        <v>273</v>
      </c>
      <c r="M42">
        <v>24</v>
      </c>
      <c r="N42">
        <v>3.3</v>
      </c>
      <c r="O42">
        <v>26160</v>
      </c>
      <c r="P42">
        <v>3</v>
      </c>
      <c r="Q42" t="s">
        <v>274</v>
      </c>
      <c r="R42" t="s">
        <v>275</v>
      </c>
      <c r="S42">
        <v>2.7099999999999999E-2</v>
      </c>
      <c r="T42">
        <v>3720</v>
      </c>
      <c r="U42">
        <v>24</v>
      </c>
      <c r="V42">
        <v>0</v>
      </c>
      <c r="W42">
        <v>1394</v>
      </c>
      <c r="X42" t="s">
        <v>276</v>
      </c>
      <c r="Y42" t="s">
        <v>276</v>
      </c>
      <c r="Z42" t="s">
        <v>277</v>
      </c>
      <c r="AA42">
        <v>1725</v>
      </c>
      <c r="AB42">
        <v>2137</v>
      </c>
      <c r="AC42">
        <v>3419.2000000000012</v>
      </c>
      <c r="AD42">
        <v>0</v>
      </c>
      <c r="AE42">
        <v>0</v>
      </c>
      <c r="AF42">
        <v>1725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2137</v>
      </c>
      <c r="AN42">
        <v>3419.2000000000012</v>
      </c>
      <c r="AO42">
        <v>0</v>
      </c>
      <c r="AP42">
        <v>0</v>
      </c>
      <c r="AQ42">
        <v>1725</v>
      </c>
      <c r="AR42">
        <v>0</v>
      </c>
      <c r="AS42">
        <v>0</v>
      </c>
      <c r="AT42">
        <v>0</v>
      </c>
      <c r="AU42" t="s">
        <v>278</v>
      </c>
      <c r="AV42" t="s">
        <v>279</v>
      </c>
      <c r="AW42">
        <v>35969301.960000001</v>
      </c>
      <c r="AX42">
        <v>35969301.960000001</v>
      </c>
      <c r="AY42" t="s">
        <v>112</v>
      </c>
      <c r="AZ42">
        <v>456</v>
      </c>
      <c r="BA42">
        <v>1.743119266055046E-2</v>
      </c>
      <c r="BB42">
        <v>35969068.347924262</v>
      </c>
      <c r="BC42">
        <v>35969301.960000001</v>
      </c>
      <c r="BD42">
        <v>35969068.347924262</v>
      </c>
      <c r="BE42">
        <v>35969068.33049307</v>
      </c>
      <c r="BF42">
        <v>35969301.942568809</v>
      </c>
      <c r="BG42">
        <v>940950827981.69873</v>
      </c>
      <c r="BH42">
        <v>456</v>
      </c>
      <c r="BI42">
        <v>1.743119266055046E-2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4.8461303697066405E-10</v>
      </c>
      <c r="BV42">
        <v>4.8461303697066405E-10</v>
      </c>
      <c r="BW42">
        <v>1.743119266055046E-2</v>
      </c>
      <c r="BX42">
        <v>1.743119266055046E-2</v>
      </c>
      <c r="BY42">
        <v>3419.2000000000012</v>
      </c>
      <c r="BZ42">
        <v>0</v>
      </c>
      <c r="CA42">
        <v>0</v>
      </c>
      <c r="CB42">
        <v>0</v>
      </c>
      <c r="CC42">
        <v>0</v>
      </c>
      <c r="CD42">
        <v>442.79999999999927</v>
      </c>
      <c r="CE42">
        <v>0</v>
      </c>
      <c r="CF42">
        <v>13.200000000000729</v>
      </c>
      <c r="CG42">
        <v>0</v>
      </c>
      <c r="CH42">
        <v>0</v>
      </c>
      <c r="CI42">
        <v>0</v>
      </c>
      <c r="CJ42">
        <v>0</v>
      </c>
      <c r="CK42">
        <v>1.085294117647057</v>
      </c>
      <c r="CL42">
        <v>0</v>
      </c>
      <c r="CM42">
        <v>3.2352941176472368E-2</v>
      </c>
      <c r="CN42" t="s">
        <v>280</v>
      </c>
      <c r="CO42">
        <v>408</v>
      </c>
      <c r="CP42" t="s">
        <v>227</v>
      </c>
      <c r="CQ42">
        <v>1</v>
      </c>
      <c r="CR42">
        <v>456</v>
      </c>
      <c r="CS42">
        <v>1.117647058823529</v>
      </c>
      <c r="CT42" t="s">
        <v>113</v>
      </c>
      <c r="CY42"/>
    </row>
    <row r="43" spans="1:103" hidden="1" x14ac:dyDescent="0.25">
      <c r="A43" s="2">
        <v>46082</v>
      </c>
      <c r="B43" t="s">
        <v>98</v>
      </c>
      <c r="C43" t="s">
        <v>98</v>
      </c>
      <c r="D43" t="s">
        <v>99</v>
      </c>
      <c r="E43">
        <v>1</v>
      </c>
      <c r="F43">
        <v>2</v>
      </c>
      <c r="G43" t="s">
        <v>271</v>
      </c>
      <c r="H43" t="s">
        <v>272</v>
      </c>
      <c r="I43" t="s">
        <v>150</v>
      </c>
      <c r="J43" t="s">
        <v>103</v>
      </c>
      <c r="K43" t="s">
        <v>104</v>
      </c>
      <c r="L43" t="s">
        <v>273</v>
      </c>
      <c r="M43">
        <v>24</v>
      </c>
      <c r="N43">
        <v>3.3</v>
      </c>
      <c r="O43">
        <v>26160</v>
      </c>
      <c r="P43">
        <v>3</v>
      </c>
      <c r="Q43" t="s">
        <v>281</v>
      </c>
      <c r="R43" t="s">
        <v>275</v>
      </c>
      <c r="S43">
        <v>2.7099999999999999E-2</v>
      </c>
      <c r="T43">
        <v>3720</v>
      </c>
      <c r="U43">
        <v>24</v>
      </c>
      <c r="V43">
        <v>0</v>
      </c>
      <c r="W43">
        <v>1395</v>
      </c>
      <c r="X43" t="s">
        <v>276</v>
      </c>
      <c r="Y43" t="s">
        <v>276</v>
      </c>
      <c r="Z43" t="s">
        <v>277</v>
      </c>
      <c r="AA43">
        <v>1725</v>
      </c>
      <c r="AB43">
        <v>2137</v>
      </c>
      <c r="AC43">
        <v>3419.2000000000012</v>
      </c>
      <c r="AD43">
        <v>0</v>
      </c>
      <c r="AE43">
        <v>0</v>
      </c>
      <c r="AF43">
        <v>1725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276</v>
      </c>
      <c r="AM43">
        <v>2137</v>
      </c>
      <c r="AN43">
        <v>3419.2000000000012</v>
      </c>
      <c r="AO43">
        <v>0</v>
      </c>
      <c r="AP43">
        <v>0</v>
      </c>
      <c r="AQ43">
        <v>1725</v>
      </c>
      <c r="AR43">
        <v>0</v>
      </c>
      <c r="AS43">
        <v>0</v>
      </c>
      <c r="AT43">
        <v>0</v>
      </c>
      <c r="AU43" t="s">
        <v>282</v>
      </c>
      <c r="AV43" t="s">
        <v>279</v>
      </c>
      <c r="AW43">
        <v>35969301.960000001</v>
      </c>
      <c r="AX43">
        <v>35969301.960000001</v>
      </c>
      <c r="AY43" t="s">
        <v>112</v>
      </c>
      <c r="AZ43">
        <v>0</v>
      </c>
      <c r="BA43">
        <v>0</v>
      </c>
      <c r="BB43">
        <v>35969142.707472473</v>
      </c>
      <c r="BC43">
        <v>35969301.942568809</v>
      </c>
      <c r="BD43">
        <v>35969142.707472473</v>
      </c>
      <c r="BE43">
        <v>35969142.707472473</v>
      </c>
      <c r="BF43">
        <v>35969301.942568809</v>
      </c>
      <c r="BG43">
        <v>940952773227.47974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280</v>
      </c>
      <c r="CO43">
        <v>408</v>
      </c>
      <c r="CP43" t="s">
        <v>227</v>
      </c>
      <c r="CQ43">
        <v>1</v>
      </c>
      <c r="CR43">
        <v>0</v>
      </c>
      <c r="CS43">
        <v>0</v>
      </c>
      <c r="CT43" t="s">
        <v>113</v>
      </c>
      <c r="CY43"/>
    </row>
    <row r="44" spans="1:103" x14ac:dyDescent="0.25">
      <c r="A44" s="2">
        <v>46082</v>
      </c>
      <c r="B44" t="s">
        <v>198</v>
      </c>
      <c r="C44" t="s">
        <v>98</v>
      </c>
      <c r="D44" t="s">
        <v>112</v>
      </c>
      <c r="E44">
        <v>1</v>
      </c>
      <c r="F44">
        <v>1</v>
      </c>
      <c r="G44" t="s">
        <v>271</v>
      </c>
      <c r="H44" t="s">
        <v>272</v>
      </c>
      <c r="I44" t="s">
        <v>150</v>
      </c>
      <c r="J44" t="s">
        <v>103</v>
      </c>
      <c r="K44" t="s">
        <v>104</v>
      </c>
      <c r="L44" t="s">
        <v>273</v>
      </c>
      <c r="M44">
        <v>24</v>
      </c>
      <c r="N44">
        <v>3.3</v>
      </c>
      <c r="O44">
        <v>26160</v>
      </c>
      <c r="P44">
        <v>3</v>
      </c>
      <c r="Q44" t="s">
        <v>274</v>
      </c>
      <c r="R44" t="s">
        <v>275</v>
      </c>
      <c r="S44">
        <v>2.7099999999999999E-2</v>
      </c>
      <c r="T44">
        <v>1944</v>
      </c>
      <c r="U44">
        <v>24</v>
      </c>
      <c r="V44">
        <v>0</v>
      </c>
      <c r="W44">
        <v>3421</v>
      </c>
      <c r="X44" t="s">
        <v>276</v>
      </c>
      <c r="Y44" t="s">
        <v>283</v>
      </c>
      <c r="Z44" t="s">
        <v>284</v>
      </c>
      <c r="AA44">
        <v>4015</v>
      </c>
      <c r="AB44">
        <v>5572</v>
      </c>
      <c r="AC44">
        <v>5572</v>
      </c>
      <c r="AD44">
        <v>0</v>
      </c>
      <c r="AE44">
        <v>0</v>
      </c>
      <c r="AF44">
        <v>4015</v>
      </c>
      <c r="AG44">
        <v>0</v>
      </c>
      <c r="AH44">
        <v>3827</v>
      </c>
      <c r="AI44">
        <v>0</v>
      </c>
      <c r="AJ44">
        <v>0</v>
      </c>
      <c r="AK44">
        <v>0</v>
      </c>
      <c r="AM44">
        <v>5572</v>
      </c>
      <c r="AN44">
        <v>5572</v>
      </c>
      <c r="AO44">
        <v>0</v>
      </c>
      <c r="AP44">
        <v>0</v>
      </c>
      <c r="AQ44">
        <v>4015</v>
      </c>
      <c r="AR44">
        <v>0</v>
      </c>
      <c r="AS44">
        <v>3827</v>
      </c>
      <c r="AT44">
        <v>0</v>
      </c>
      <c r="AU44" t="s">
        <v>278</v>
      </c>
      <c r="AV44" t="s">
        <v>279</v>
      </c>
      <c r="AW44">
        <v>35969301.960000001</v>
      </c>
      <c r="AX44">
        <v>35969301.960000001</v>
      </c>
      <c r="AY44" t="s">
        <v>112</v>
      </c>
      <c r="AZ44">
        <v>7848</v>
      </c>
      <c r="BA44">
        <v>0.3</v>
      </c>
      <c r="BB44">
        <v>35968750.548763707</v>
      </c>
      <c r="BC44">
        <v>35969301.942568809</v>
      </c>
      <c r="BD44">
        <v>35968750.548763707</v>
      </c>
      <c r="BE44">
        <v>35968750.248763718</v>
      </c>
      <c r="BF44">
        <v>35969301.642568812</v>
      </c>
      <c r="BG44">
        <v>940942514355.65881</v>
      </c>
      <c r="BH44">
        <v>7848</v>
      </c>
      <c r="BI44">
        <v>0.3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8.3404454257582705E-9</v>
      </c>
      <c r="BV44">
        <v>8.3404454257582705E-9</v>
      </c>
      <c r="BW44">
        <v>0.3</v>
      </c>
      <c r="BX44">
        <v>0.3</v>
      </c>
      <c r="BY44">
        <v>5572</v>
      </c>
      <c r="BZ44">
        <v>0</v>
      </c>
      <c r="CA44">
        <v>0</v>
      </c>
      <c r="CB44">
        <v>0</v>
      </c>
      <c r="CC44">
        <v>2270</v>
      </c>
      <c r="CD44">
        <v>5572</v>
      </c>
      <c r="CE44">
        <v>0</v>
      </c>
      <c r="CF44">
        <v>6</v>
      </c>
      <c r="CG44">
        <v>0</v>
      </c>
      <c r="CH44">
        <v>0</v>
      </c>
      <c r="CI44">
        <v>0</v>
      </c>
      <c r="CJ44">
        <v>5.5637254901960782</v>
      </c>
      <c r="CK44">
        <v>13.65686274509804</v>
      </c>
      <c r="CL44">
        <v>0</v>
      </c>
      <c r="CM44">
        <v>1.470588235294118E-2</v>
      </c>
      <c r="CN44" t="s">
        <v>280</v>
      </c>
      <c r="CO44">
        <v>408</v>
      </c>
      <c r="CP44" t="s">
        <v>227</v>
      </c>
      <c r="CQ44">
        <v>1</v>
      </c>
      <c r="CR44">
        <v>7848</v>
      </c>
      <c r="CS44">
        <v>19.235294117647062</v>
      </c>
      <c r="CT44" t="s">
        <v>113</v>
      </c>
      <c r="CU44">
        <v>329.90180035650621</v>
      </c>
      <c r="CV44" s="8">
        <f t="shared" ref="CV44:CV45" si="4">CJ44/SUBTOTAL(9,$CJ$20:$CJ$73)</f>
        <v>1.3767903964002156E-2</v>
      </c>
      <c r="CW44">
        <f t="shared" ref="CW44:CW45" si="5">CU44*CV44</f>
        <v>4.5420563048597895</v>
      </c>
      <c r="CX44">
        <f t="shared" ref="CX44:CX45" si="6">CJ44-CW44</f>
        <v>1.0216691853362887</v>
      </c>
      <c r="CY44" s="11">
        <f t="shared" ref="CY44:CY45" si="7">IF(CN44="",O44*CX44,CO44*CX44/CQ44)</f>
        <v>416.84102761720578</v>
      </c>
    </row>
    <row r="45" spans="1:103" x14ac:dyDescent="0.25">
      <c r="A45" s="2">
        <v>46082</v>
      </c>
      <c r="B45" t="s">
        <v>198</v>
      </c>
      <c r="C45" t="s">
        <v>98</v>
      </c>
      <c r="D45" t="s">
        <v>112</v>
      </c>
      <c r="E45">
        <v>1</v>
      </c>
      <c r="F45">
        <v>2</v>
      </c>
      <c r="G45" t="s">
        <v>271</v>
      </c>
      <c r="H45" t="s">
        <v>272</v>
      </c>
      <c r="I45" t="s">
        <v>150</v>
      </c>
      <c r="J45" t="s">
        <v>103</v>
      </c>
      <c r="K45" t="s">
        <v>104</v>
      </c>
      <c r="L45" t="s">
        <v>273</v>
      </c>
      <c r="M45">
        <v>24</v>
      </c>
      <c r="N45">
        <v>3.3</v>
      </c>
      <c r="O45">
        <v>26160</v>
      </c>
      <c r="P45">
        <v>3</v>
      </c>
      <c r="Q45" t="s">
        <v>281</v>
      </c>
      <c r="R45" t="s">
        <v>275</v>
      </c>
      <c r="S45">
        <v>2.7099999999999999E-2</v>
      </c>
      <c r="T45">
        <v>1944</v>
      </c>
      <c r="U45">
        <v>24</v>
      </c>
      <c r="V45">
        <v>0</v>
      </c>
      <c r="W45">
        <v>3422</v>
      </c>
      <c r="X45" t="s">
        <v>276</v>
      </c>
      <c r="Y45" t="s">
        <v>283</v>
      </c>
      <c r="Z45" t="s">
        <v>284</v>
      </c>
      <c r="AA45">
        <v>4015</v>
      </c>
      <c r="AB45">
        <v>5572</v>
      </c>
      <c r="AC45">
        <v>5572</v>
      </c>
      <c r="AD45">
        <v>0</v>
      </c>
      <c r="AE45">
        <v>0</v>
      </c>
      <c r="AF45">
        <v>4015</v>
      </c>
      <c r="AG45">
        <v>0</v>
      </c>
      <c r="AH45">
        <v>3827</v>
      </c>
      <c r="AI45">
        <v>0</v>
      </c>
      <c r="AJ45">
        <v>0</v>
      </c>
      <c r="AK45">
        <v>0</v>
      </c>
      <c r="AL45" t="s">
        <v>283</v>
      </c>
      <c r="AM45">
        <v>5572</v>
      </c>
      <c r="AN45">
        <v>5572</v>
      </c>
      <c r="AO45">
        <v>0</v>
      </c>
      <c r="AP45">
        <v>0</v>
      </c>
      <c r="AQ45">
        <v>4015</v>
      </c>
      <c r="AR45">
        <v>0</v>
      </c>
      <c r="AS45">
        <v>3827</v>
      </c>
      <c r="AT45">
        <v>0</v>
      </c>
      <c r="AU45" t="s">
        <v>282</v>
      </c>
      <c r="AV45" t="s">
        <v>279</v>
      </c>
      <c r="AW45">
        <v>35969301.960000001</v>
      </c>
      <c r="AX45">
        <v>35969301.960000001</v>
      </c>
      <c r="AY45" t="s">
        <v>112</v>
      </c>
      <c r="AZ45">
        <v>0</v>
      </c>
      <c r="BA45">
        <v>0</v>
      </c>
      <c r="BB45">
        <v>35968932.407601193</v>
      </c>
      <c r="BC45">
        <v>35969301.642568812</v>
      </c>
      <c r="BD45">
        <v>35968932.407601193</v>
      </c>
      <c r="BE45">
        <v>35968932.407601193</v>
      </c>
      <c r="BF45">
        <v>35969301.642568812</v>
      </c>
      <c r="BG45">
        <v>940947271782.84717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280</v>
      </c>
      <c r="CO45">
        <v>408</v>
      </c>
      <c r="CP45" t="s">
        <v>227</v>
      </c>
      <c r="CQ45">
        <v>1</v>
      </c>
      <c r="CR45">
        <v>0</v>
      </c>
      <c r="CS45">
        <v>0</v>
      </c>
      <c r="CT45" t="s">
        <v>113</v>
      </c>
      <c r="CU45">
        <v>329.90180035650621</v>
      </c>
      <c r="CV45" s="8">
        <f t="shared" si="4"/>
        <v>0</v>
      </c>
      <c r="CW45">
        <f t="shared" si="5"/>
        <v>0</v>
      </c>
      <c r="CX45">
        <f t="shared" si="6"/>
        <v>0</v>
      </c>
      <c r="CY45" s="11">
        <f t="shared" si="7"/>
        <v>0</v>
      </c>
    </row>
    <row r="46" spans="1:103" hidden="1" x14ac:dyDescent="0.25">
      <c r="A46" s="2">
        <v>46082</v>
      </c>
      <c r="B46" t="s">
        <v>98</v>
      </c>
      <c r="C46" t="s">
        <v>98</v>
      </c>
      <c r="D46" t="s">
        <v>99</v>
      </c>
      <c r="E46">
        <v>1</v>
      </c>
      <c r="F46">
        <v>1</v>
      </c>
      <c r="G46" t="s">
        <v>285</v>
      </c>
      <c r="H46" t="s">
        <v>286</v>
      </c>
      <c r="I46" t="s">
        <v>150</v>
      </c>
      <c r="J46" t="s">
        <v>103</v>
      </c>
      <c r="K46" t="s">
        <v>104</v>
      </c>
      <c r="L46" t="s">
        <v>287</v>
      </c>
      <c r="M46">
        <v>24</v>
      </c>
      <c r="N46">
        <v>3.3</v>
      </c>
      <c r="O46">
        <v>26160</v>
      </c>
      <c r="P46">
        <v>3</v>
      </c>
      <c r="Q46" t="s">
        <v>281</v>
      </c>
      <c r="R46" t="s">
        <v>275</v>
      </c>
      <c r="S46">
        <v>4.6100000000000002E-2</v>
      </c>
      <c r="T46">
        <v>18000</v>
      </c>
      <c r="U46">
        <v>24</v>
      </c>
      <c r="V46">
        <v>0</v>
      </c>
      <c r="W46">
        <v>1396</v>
      </c>
      <c r="X46" t="s">
        <v>288</v>
      </c>
      <c r="Y46" t="s">
        <v>288</v>
      </c>
      <c r="Z46" t="s">
        <v>289</v>
      </c>
      <c r="AA46">
        <v>6205</v>
      </c>
      <c r="AB46">
        <v>16026</v>
      </c>
      <c r="AC46">
        <v>25641.599999999999</v>
      </c>
      <c r="AD46">
        <v>0</v>
      </c>
      <c r="AE46">
        <v>0</v>
      </c>
      <c r="AF46">
        <v>6205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16026</v>
      </c>
      <c r="AN46">
        <v>25641.599999999999</v>
      </c>
      <c r="AO46">
        <v>0</v>
      </c>
      <c r="AP46">
        <v>0</v>
      </c>
      <c r="AQ46">
        <v>6205</v>
      </c>
      <c r="AR46">
        <v>0</v>
      </c>
      <c r="AS46">
        <v>0</v>
      </c>
      <c r="AT46">
        <v>0</v>
      </c>
      <c r="AU46" t="s">
        <v>282</v>
      </c>
      <c r="AV46" t="s">
        <v>290</v>
      </c>
      <c r="AW46">
        <v>35969301.960000001</v>
      </c>
      <c r="AX46">
        <v>35969301.960000001</v>
      </c>
      <c r="AY46" t="s">
        <v>112</v>
      </c>
      <c r="AZ46">
        <v>0</v>
      </c>
      <c r="BA46">
        <v>0</v>
      </c>
      <c r="BB46">
        <v>35969142.707472473</v>
      </c>
      <c r="BC46">
        <v>35969301.960000001</v>
      </c>
      <c r="BD46">
        <v>35969142.707472473</v>
      </c>
      <c r="BE46">
        <v>35969142.707472473</v>
      </c>
      <c r="BF46">
        <v>35969301.960000001</v>
      </c>
      <c r="BG46">
        <v>940952773227.47974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291</v>
      </c>
      <c r="CO46">
        <v>376</v>
      </c>
      <c r="CP46" t="s">
        <v>233</v>
      </c>
      <c r="CQ46">
        <v>1</v>
      </c>
      <c r="CR46">
        <v>0</v>
      </c>
      <c r="CS46">
        <v>0</v>
      </c>
      <c r="CT46" t="s">
        <v>113</v>
      </c>
      <c r="CY46"/>
    </row>
    <row r="47" spans="1:103" hidden="1" x14ac:dyDescent="0.25">
      <c r="A47" s="2">
        <v>46082</v>
      </c>
      <c r="B47" t="s">
        <v>98</v>
      </c>
      <c r="C47" t="s">
        <v>98</v>
      </c>
      <c r="D47" t="s">
        <v>99</v>
      </c>
      <c r="E47">
        <v>1</v>
      </c>
      <c r="F47">
        <v>2</v>
      </c>
      <c r="G47" t="s">
        <v>285</v>
      </c>
      <c r="H47" t="s">
        <v>286</v>
      </c>
      <c r="I47" t="s">
        <v>150</v>
      </c>
      <c r="J47" t="s">
        <v>103</v>
      </c>
      <c r="K47" t="s">
        <v>104</v>
      </c>
      <c r="L47" t="s">
        <v>287</v>
      </c>
      <c r="M47">
        <v>24</v>
      </c>
      <c r="N47">
        <v>3.3</v>
      </c>
      <c r="O47">
        <v>26160</v>
      </c>
      <c r="P47">
        <v>3</v>
      </c>
      <c r="Q47" t="s">
        <v>274</v>
      </c>
      <c r="R47" t="s">
        <v>275</v>
      </c>
      <c r="S47">
        <v>4.6100000000000002E-2</v>
      </c>
      <c r="T47">
        <v>18000</v>
      </c>
      <c r="U47">
        <v>24</v>
      </c>
      <c r="V47">
        <v>0</v>
      </c>
      <c r="W47">
        <v>1397</v>
      </c>
      <c r="X47" t="s">
        <v>288</v>
      </c>
      <c r="Y47" t="s">
        <v>288</v>
      </c>
      <c r="Z47" t="s">
        <v>289</v>
      </c>
      <c r="AA47">
        <v>6205</v>
      </c>
      <c r="AB47">
        <v>16026</v>
      </c>
      <c r="AC47">
        <v>25641.599999999999</v>
      </c>
      <c r="AD47">
        <v>0</v>
      </c>
      <c r="AE47">
        <v>0</v>
      </c>
      <c r="AF47">
        <v>6205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288</v>
      </c>
      <c r="AM47">
        <v>16026</v>
      </c>
      <c r="AN47">
        <v>25641.599999999999</v>
      </c>
      <c r="AO47">
        <v>0</v>
      </c>
      <c r="AP47">
        <v>0</v>
      </c>
      <c r="AQ47">
        <v>6205</v>
      </c>
      <c r="AR47">
        <v>0</v>
      </c>
      <c r="AS47">
        <v>0</v>
      </c>
      <c r="AT47">
        <v>0</v>
      </c>
      <c r="AU47" t="s">
        <v>278</v>
      </c>
      <c r="AV47" t="s">
        <v>290</v>
      </c>
      <c r="AW47">
        <v>35969301.960000001</v>
      </c>
      <c r="AX47">
        <v>35969301.960000001</v>
      </c>
      <c r="AY47" t="s">
        <v>112</v>
      </c>
      <c r="AZ47">
        <v>0</v>
      </c>
      <c r="BA47">
        <v>0</v>
      </c>
      <c r="BB47">
        <v>35969068.33049307</v>
      </c>
      <c r="BC47">
        <v>35969301.960000001</v>
      </c>
      <c r="BD47">
        <v>35969068.33049307</v>
      </c>
      <c r="BE47">
        <v>35969068.33049307</v>
      </c>
      <c r="BF47">
        <v>35969301.960000001</v>
      </c>
      <c r="BG47">
        <v>940950827525.69873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291</v>
      </c>
      <c r="CO47">
        <v>376</v>
      </c>
      <c r="CP47" t="s">
        <v>233</v>
      </c>
      <c r="CQ47">
        <v>1</v>
      </c>
      <c r="CR47">
        <v>0</v>
      </c>
      <c r="CS47">
        <v>0</v>
      </c>
      <c r="CT47" t="s">
        <v>113</v>
      </c>
      <c r="CY47"/>
    </row>
    <row r="48" spans="1:103" x14ac:dyDescent="0.25">
      <c r="A48" s="2">
        <v>46082</v>
      </c>
      <c r="B48" t="s">
        <v>198</v>
      </c>
      <c r="C48" t="s">
        <v>98</v>
      </c>
      <c r="D48" t="s">
        <v>112</v>
      </c>
      <c r="E48">
        <v>1</v>
      </c>
      <c r="F48">
        <v>1</v>
      </c>
      <c r="G48" t="s">
        <v>285</v>
      </c>
      <c r="H48" t="s">
        <v>286</v>
      </c>
      <c r="I48" t="s">
        <v>150</v>
      </c>
      <c r="J48" t="s">
        <v>103</v>
      </c>
      <c r="K48" t="s">
        <v>104</v>
      </c>
      <c r="L48" t="s">
        <v>287</v>
      </c>
      <c r="M48">
        <v>24</v>
      </c>
      <c r="N48">
        <v>3.3</v>
      </c>
      <c r="O48">
        <v>26160</v>
      </c>
      <c r="P48">
        <v>3</v>
      </c>
      <c r="Q48" t="s">
        <v>281</v>
      </c>
      <c r="R48" t="s">
        <v>275</v>
      </c>
      <c r="S48">
        <v>4.6100000000000002E-2</v>
      </c>
      <c r="T48">
        <v>10488</v>
      </c>
      <c r="U48">
        <v>24</v>
      </c>
      <c r="V48">
        <v>0</v>
      </c>
      <c r="W48">
        <v>3423</v>
      </c>
      <c r="X48" t="s">
        <v>288</v>
      </c>
      <c r="Y48" t="s">
        <v>292</v>
      </c>
      <c r="Z48" t="s">
        <v>293</v>
      </c>
      <c r="AA48">
        <v>30463</v>
      </c>
      <c r="AB48">
        <v>41792</v>
      </c>
      <c r="AC48">
        <v>41792</v>
      </c>
      <c r="AD48">
        <v>0</v>
      </c>
      <c r="AE48">
        <v>96</v>
      </c>
      <c r="AF48">
        <v>30367</v>
      </c>
      <c r="AG48">
        <v>0</v>
      </c>
      <c r="AH48">
        <v>29583</v>
      </c>
      <c r="AI48">
        <v>0</v>
      </c>
      <c r="AJ48">
        <v>0</v>
      </c>
      <c r="AK48">
        <v>0</v>
      </c>
      <c r="AM48">
        <v>41792</v>
      </c>
      <c r="AN48">
        <v>41792</v>
      </c>
      <c r="AO48">
        <v>0</v>
      </c>
      <c r="AP48">
        <v>96</v>
      </c>
      <c r="AQ48">
        <v>30367</v>
      </c>
      <c r="AR48">
        <v>0</v>
      </c>
      <c r="AS48">
        <v>29583</v>
      </c>
      <c r="AT48">
        <v>0</v>
      </c>
      <c r="AU48" t="s">
        <v>282</v>
      </c>
      <c r="AV48" t="s">
        <v>290</v>
      </c>
      <c r="AW48">
        <v>35969301.960000001</v>
      </c>
      <c r="AX48">
        <v>35969301.960000001</v>
      </c>
      <c r="AY48" t="s">
        <v>112</v>
      </c>
      <c r="AZ48">
        <v>60048</v>
      </c>
      <c r="BA48">
        <v>2.2954128440366972</v>
      </c>
      <c r="BB48">
        <v>35968932.407601193</v>
      </c>
      <c r="BC48">
        <v>35969301.960000001</v>
      </c>
      <c r="BD48">
        <v>35968932.407601193</v>
      </c>
      <c r="BE48">
        <v>35968930.112188347</v>
      </c>
      <c r="BF48">
        <v>35969299.664587148</v>
      </c>
      <c r="BG48">
        <v>940947271782.84717</v>
      </c>
      <c r="BH48">
        <v>60048</v>
      </c>
      <c r="BI48">
        <v>2.2954128440366972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6.3815885184242173E-8</v>
      </c>
      <c r="BV48">
        <v>6.3815885184242173E-8</v>
      </c>
      <c r="BW48">
        <v>2.2954128440366972</v>
      </c>
      <c r="BX48">
        <v>2.2954128440366972</v>
      </c>
      <c r="BY48">
        <v>41792</v>
      </c>
      <c r="BZ48">
        <v>0</v>
      </c>
      <c r="CA48">
        <v>0</v>
      </c>
      <c r="CB48">
        <v>0</v>
      </c>
      <c r="CC48">
        <v>18254</v>
      </c>
      <c r="CD48">
        <v>41792</v>
      </c>
      <c r="CE48">
        <v>0</v>
      </c>
      <c r="CF48">
        <v>2</v>
      </c>
      <c r="CG48">
        <v>0</v>
      </c>
      <c r="CH48">
        <v>0</v>
      </c>
      <c r="CI48">
        <v>0</v>
      </c>
      <c r="CJ48">
        <v>48.547872340425528</v>
      </c>
      <c r="CK48">
        <v>111.14893617021271</v>
      </c>
      <c r="CL48">
        <v>0</v>
      </c>
      <c r="CM48">
        <v>5.3191489361702118E-3</v>
      </c>
      <c r="CN48" t="s">
        <v>291</v>
      </c>
      <c r="CO48">
        <v>376</v>
      </c>
      <c r="CP48" t="s">
        <v>233</v>
      </c>
      <c r="CQ48">
        <v>1</v>
      </c>
      <c r="CR48">
        <v>60048</v>
      </c>
      <c r="CS48">
        <v>159.7021276595745</v>
      </c>
      <c r="CT48" t="s">
        <v>113</v>
      </c>
      <c r="CU48">
        <v>329.90180035650621</v>
      </c>
      <c r="CV48" s="8">
        <f t="shared" ref="CV48:CV49" si="8">CJ48/SUBTOTAL(9,$CJ$20:$CJ$73)</f>
        <v>0.12013576967760486</v>
      </c>
      <c r="CW48">
        <f t="shared" ref="CW48:CW49" si="9">CU48*CV48</f>
        <v>39.63300670385641</v>
      </c>
      <c r="CX48">
        <f t="shared" ref="CX48:CX49" si="10">CJ48-CW48</f>
        <v>8.9148656365691181</v>
      </c>
      <c r="CY48" s="11">
        <f t="shared" ref="CY48:CY49" si="11">IF(CN48="",O48*CX48,CO48*CX48/CQ48)</f>
        <v>3351.9894793499884</v>
      </c>
    </row>
    <row r="49" spans="1:103" x14ac:dyDescent="0.25">
      <c r="A49" s="2">
        <v>46082</v>
      </c>
      <c r="B49" t="s">
        <v>198</v>
      </c>
      <c r="C49" t="s">
        <v>98</v>
      </c>
      <c r="D49" t="s">
        <v>112</v>
      </c>
      <c r="E49">
        <v>1</v>
      </c>
      <c r="F49">
        <v>2</v>
      </c>
      <c r="G49" t="s">
        <v>285</v>
      </c>
      <c r="H49" t="s">
        <v>286</v>
      </c>
      <c r="I49" t="s">
        <v>150</v>
      </c>
      <c r="J49" t="s">
        <v>103</v>
      </c>
      <c r="K49" t="s">
        <v>104</v>
      </c>
      <c r="L49" t="s">
        <v>287</v>
      </c>
      <c r="M49">
        <v>24</v>
      </c>
      <c r="N49">
        <v>3.3</v>
      </c>
      <c r="O49">
        <v>26160</v>
      </c>
      <c r="P49">
        <v>3</v>
      </c>
      <c r="Q49" t="s">
        <v>274</v>
      </c>
      <c r="R49" t="s">
        <v>275</v>
      </c>
      <c r="S49">
        <v>4.6100000000000002E-2</v>
      </c>
      <c r="T49">
        <v>10488</v>
      </c>
      <c r="U49">
        <v>24</v>
      </c>
      <c r="V49">
        <v>0</v>
      </c>
      <c r="W49">
        <v>3424</v>
      </c>
      <c r="X49" t="s">
        <v>288</v>
      </c>
      <c r="Y49" t="s">
        <v>292</v>
      </c>
      <c r="Z49" t="s">
        <v>293</v>
      </c>
      <c r="AA49">
        <v>30463</v>
      </c>
      <c r="AB49">
        <v>41792</v>
      </c>
      <c r="AC49">
        <v>41792</v>
      </c>
      <c r="AD49">
        <v>0</v>
      </c>
      <c r="AE49">
        <v>96</v>
      </c>
      <c r="AF49">
        <v>30367</v>
      </c>
      <c r="AG49">
        <v>0</v>
      </c>
      <c r="AH49">
        <v>29583</v>
      </c>
      <c r="AI49">
        <v>0</v>
      </c>
      <c r="AJ49">
        <v>0</v>
      </c>
      <c r="AK49">
        <v>0</v>
      </c>
      <c r="AL49" t="s">
        <v>292</v>
      </c>
      <c r="AM49">
        <v>41792</v>
      </c>
      <c r="AN49">
        <v>41792</v>
      </c>
      <c r="AO49">
        <v>0</v>
      </c>
      <c r="AP49">
        <v>96</v>
      </c>
      <c r="AQ49">
        <v>30367</v>
      </c>
      <c r="AR49">
        <v>0</v>
      </c>
      <c r="AS49">
        <v>29583</v>
      </c>
      <c r="AT49">
        <v>0</v>
      </c>
      <c r="AU49" t="s">
        <v>278</v>
      </c>
      <c r="AV49" t="s">
        <v>290</v>
      </c>
      <c r="AW49">
        <v>35969301.960000001</v>
      </c>
      <c r="AX49">
        <v>35969301.960000001</v>
      </c>
      <c r="AY49" t="s">
        <v>112</v>
      </c>
      <c r="AZ49">
        <v>0</v>
      </c>
      <c r="BA49">
        <v>0</v>
      </c>
      <c r="BB49">
        <v>35968750.248763718</v>
      </c>
      <c r="BC49">
        <v>35969299.664587148</v>
      </c>
      <c r="BD49">
        <v>35968750.248763718</v>
      </c>
      <c r="BE49">
        <v>35968750.248763718</v>
      </c>
      <c r="BF49">
        <v>35969299.664587148</v>
      </c>
      <c r="BG49">
        <v>940942506507.65881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291</v>
      </c>
      <c r="CO49">
        <v>376</v>
      </c>
      <c r="CP49" t="s">
        <v>233</v>
      </c>
      <c r="CQ49">
        <v>1</v>
      </c>
      <c r="CR49">
        <v>0</v>
      </c>
      <c r="CS49">
        <v>0</v>
      </c>
      <c r="CT49" t="s">
        <v>113</v>
      </c>
      <c r="CU49">
        <v>329.90180035650621</v>
      </c>
      <c r="CV49" s="8">
        <f t="shared" si="8"/>
        <v>0</v>
      </c>
      <c r="CW49">
        <f t="shared" si="9"/>
        <v>0</v>
      </c>
      <c r="CX49">
        <f t="shared" si="10"/>
        <v>0</v>
      </c>
      <c r="CY49" s="11">
        <f t="shared" si="11"/>
        <v>0</v>
      </c>
    </row>
    <row r="50" spans="1:103" hidden="1" x14ac:dyDescent="0.25">
      <c r="A50" s="2">
        <v>46082</v>
      </c>
      <c r="B50" t="s">
        <v>98</v>
      </c>
      <c r="C50" t="s">
        <v>98</v>
      </c>
      <c r="D50" t="s">
        <v>99</v>
      </c>
      <c r="E50">
        <v>1</v>
      </c>
      <c r="F50">
        <v>1</v>
      </c>
      <c r="G50" t="s">
        <v>294</v>
      </c>
      <c r="H50" t="s">
        <v>295</v>
      </c>
      <c r="I50" t="s">
        <v>150</v>
      </c>
      <c r="J50" t="s">
        <v>103</v>
      </c>
      <c r="K50" t="s">
        <v>104</v>
      </c>
      <c r="L50" t="s">
        <v>296</v>
      </c>
      <c r="M50">
        <v>12</v>
      </c>
      <c r="N50">
        <v>3.3</v>
      </c>
      <c r="O50">
        <v>13080</v>
      </c>
      <c r="P50">
        <v>3</v>
      </c>
      <c r="Q50" t="s">
        <v>274</v>
      </c>
      <c r="R50" t="s">
        <v>275</v>
      </c>
      <c r="S50">
        <v>6.8400000000000002E-2</v>
      </c>
      <c r="T50">
        <v>6336</v>
      </c>
      <c r="U50">
        <v>12</v>
      </c>
      <c r="V50">
        <v>0</v>
      </c>
      <c r="W50">
        <v>1398</v>
      </c>
      <c r="X50" t="s">
        <v>297</v>
      </c>
      <c r="Y50" t="s">
        <v>297</v>
      </c>
      <c r="Z50" t="s">
        <v>298</v>
      </c>
      <c r="AA50">
        <v>3691</v>
      </c>
      <c r="AB50">
        <v>10489</v>
      </c>
      <c r="AC50">
        <v>16782.400000000001</v>
      </c>
      <c r="AD50">
        <v>0</v>
      </c>
      <c r="AE50">
        <v>0</v>
      </c>
      <c r="AF50">
        <v>3691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10489</v>
      </c>
      <c r="AN50">
        <v>16782.400000000001</v>
      </c>
      <c r="AO50">
        <v>0</v>
      </c>
      <c r="AP50">
        <v>0</v>
      </c>
      <c r="AQ50">
        <v>3691</v>
      </c>
      <c r="AR50">
        <v>0</v>
      </c>
      <c r="AS50">
        <v>0</v>
      </c>
      <c r="AT50">
        <v>0</v>
      </c>
      <c r="AU50" t="s">
        <v>278</v>
      </c>
      <c r="AV50" t="s">
        <v>299</v>
      </c>
      <c r="AW50">
        <v>35969301.960000001</v>
      </c>
      <c r="AX50">
        <v>35969301.960000001</v>
      </c>
      <c r="AY50" t="s">
        <v>112</v>
      </c>
      <c r="AZ50">
        <v>0</v>
      </c>
      <c r="BA50">
        <v>0</v>
      </c>
      <c r="BB50">
        <v>35969068.33049307</v>
      </c>
      <c r="BC50">
        <v>35969301.960000001</v>
      </c>
      <c r="BD50">
        <v>35969068.33049307</v>
      </c>
      <c r="BE50">
        <v>35969068.33049307</v>
      </c>
      <c r="BF50">
        <v>35969301.960000001</v>
      </c>
      <c r="BG50">
        <v>470475413762.84943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300</v>
      </c>
      <c r="CO50">
        <v>180</v>
      </c>
      <c r="CP50" t="s">
        <v>239</v>
      </c>
      <c r="CQ50">
        <v>1</v>
      </c>
      <c r="CR50">
        <v>0</v>
      </c>
      <c r="CS50">
        <v>0</v>
      </c>
      <c r="CT50" t="s">
        <v>113</v>
      </c>
      <c r="CY50"/>
    </row>
    <row r="51" spans="1:103" hidden="1" x14ac:dyDescent="0.25">
      <c r="A51" s="2">
        <v>46082</v>
      </c>
      <c r="B51" t="s">
        <v>98</v>
      </c>
      <c r="C51" t="s">
        <v>98</v>
      </c>
      <c r="D51" t="s">
        <v>99</v>
      </c>
      <c r="E51">
        <v>1</v>
      </c>
      <c r="F51">
        <v>2</v>
      </c>
      <c r="G51" t="s">
        <v>294</v>
      </c>
      <c r="H51" t="s">
        <v>295</v>
      </c>
      <c r="I51" t="s">
        <v>150</v>
      </c>
      <c r="J51" t="s">
        <v>103</v>
      </c>
      <c r="K51" t="s">
        <v>104</v>
      </c>
      <c r="L51" t="s">
        <v>296</v>
      </c>
      <c r="M51">
        <v>12</v>
      </c>
      <c r="N51">
        <v>3.3</v>
      </c>
      <c r="O51">
        <v>13080</v>
      </c>
      <c r="P51">
        <v>3</v>
      </c>
      <c r="Q51" t="s">
        <v>281</v>
      </c>
      <c r="R51" t="s">
        <v>275</v>
      </c>
      <c r="S51">
        <v>6.8400000000000002E-2</v>
      </c>
      <c r="T51">
        <v>6336</v>
      </c>
      <c r="U51">
        <v>12</v>
      </c>
      <c r="V51">
        <v>0</v>
      </c>
      <c r="W51">
        <v>1399</v>
      </c>
      <c r="X51" t="s">
        <v>297</v>
      </c>
      <c r="Y51" t="s">
        <v>297</v>
      </c>
      <c r="Z51" t="s">
        <v>298</v>
      </c>
      <c r="AA51">
        <v>3691</v>
      </c>
      <c r="AB51">
        <v>10489</v>
      </c>
      <c r="AC51">
        <v>16782.400000000001</v>
      </c>
      <c r="AD51">
        <v>0</v>
      </c>
      <c r="AE51">
        <v>0</v>
      </c>
      <c r="AF51">
        <v>3691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297</v>
      </c>
      <c r="AM51">
        <v>10489</v>
      </c>
      <c r="AN51">
        <v>16782.400000000001</v>
      </c>
      <c r="AO51">
        <v>0</v>
      </c>
      <c r="AP51">
        <v>0</v>
      </c>
      <c r="AQ51">
        <v>3691</v>
      </c>
      <c r="AR51">
        <v>0</v>
      </c>
      <c r="AS51">
        <v>0</v>
      </c>
      <c r="AT51">
        <v>0</v>
      </c>
      <c r="AU51" t="s">
        <v>282</v>
      </c>
      <c r="AV51" t="s">
        <v>299</v>
      </c>
      <c r="AW51">
        <v>35969301.960000001</v>
      </c>
      <c r="AX51">
        <v>35969301.960000001</v>
      </c>
      <c r="AY51" t="s">
        <v>112</v>
      </c>
      <c r="AZ51">
        <v>0</v>
      </c>
      <c r="BA51">
        <v>0</v>
      </c>
      <c r="BB51">
        <v>35969142.707472473</v>
      </c>
      <c r="BC51">
        <v>35969301.960000001</v>
      </c>
      <c r="BD51">
        <v>35969142.707472473</v>
      </c>
      <c r="BE51">
        <v>35969142.707472473</v>
      </c>
      <c r="BF51">
        <v>35969301.960000001</v>
      </c>
      <c r="BG51">
        <v>470476386613.73993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300</v>
      </c>
      <c r="CO51">
        <v>180</v>
      </c>
      <c r="CP51" t="s">
        <v>239</v>
      </c>
      <c r="CQ51">
        <v>1</v>
      </c>
      <c r="CR51">
        <v>0</v>
      </c>
      <c r="CS51">
        <v>0</v>
      </c>
      <c r="CT51" t="s">
        <v>113</v>
      </c>
      <c r="CY51"/>
    </row>
    <row r="52" spans="1:103" x14ac:dyDescent="0.25">
      <c r="A52" s="2">
        <v>46082</v>
      </c>
      <c r="B52" t="s">
        <v>198</v>
      </c>
      <c r="C52" t="s">
        <v>98</v>
      </c>
      <c r="D52" t="s">
        <v>112</v>
      </c>
      <c r="E52">
        <v>1</v>
      </c>
      <c r="F52">
        <v>1</v>
      </c>
      <c r="G52" t="s">
        <v>294</v>
      </c>
      <c r="H52" t="s">
        <v>295</v>
      </c>
      <c r="I52" t="s">
        <v>150</v>
      </c>
      <c r="J52" t="s">
        <v>103</v>
      </c>
      <c r="K52" t="s">
        <v>104</v>
      </c>
      <c r="L52" t="s">
        <v>296</v>
      </c>
      <c r="M52">
        <v>12</v>
      </c>
      <c r="N52">
        <v>3.3</v>
      </c>
      <c r="O52">
        <v>13080</v>
      </c>
      <c r="P52">
        <v>3</v>
      </c>
      <c r="Q52" t="s">
        <v>274</v>
      </c>
      <c r="R52" t="s">
        <v>275</v>
      </c>
      <c r="S52">
        <v>6.8400000000000002E-2</v>
      </c>
      <c r="T52">
        <v>2556</v>
      </c>
      <c r="U52">
        <v>12</v>
      </c>
      <c r="V52">
        <v>0</v>
      </c>
      <c r="W52">
        <v>3425</v>
      </c>
      <c r="X52" t="s">
        <v>297</v>
      </c>
      <c r="Y52" t="s">
        <v>301</v>
      </c>
      <c r="Z52" t="s">
        <v>302</v>
      </c>
      <c r="AA52">
        <v>15474</v>
      </c>
      <c r="AB52">
        <v>18846</v>
      </c>
      <c r="AC52">
        <v>18846</v>
      </c>
      <c r="AD52">
        <v>0</v>
      </c>
      <c r="AE52">
        <v>180</v>
      </c>
      <c r="AF52">
        <v>15294</v>
      </c>
      <c r="AG52">
        <v>0</v>
      </c>
      <c r="AH52">
        <v>15546</v>
      </c>
      <c r="AI52">
        <v>0</v>
      </c>
      <c r="AJ52">
        <v>0</v>
      </c>
      <c r="AK52">
        <v>0</v>
      </c>
      <c r="AM52">
        <v>18846</v>
      </c>
      <c r="AN52">
        <v>18846</v>
      </c>
      <c r="AO52">
        <v>0</v>
      </c>
      <c r="AP52">
        <v>180</v>
      </c>
      <c r="AQ52">
        <v>15294</v>
      </c>
      <c r="AR52">
        <v>0</v>
      </c>
      <c r="AS52">
        <v>15546</v>
      </c>
      <c r="AT52">
        <v>0</v>
      </c>
      <c r="AU52" t="s">
        <v>278</v>
      </c>
      <c r="AV52" t="s">
        <v>299</v>
      </c>
      <c r="AW52">
        <v>35969301.960000001</v>
      </c>
      <c r="AX52">
        <v>35969301.960000001</v>
      </c>
      <c r="AY52" t="s">
        <v>112</v>
      </c>
      <c r="AZ52">
        <v>31020</v>
      </c>
      <c r="BA52">
        <v>2.3715596330275228</v>
      </c>
      <c r="BB52">
        <v>35968750.248763718</v>
      </c>
      <c r="BC52">
        <v>35969301.960000001</v>
      </c>
      <c r="BD52">
        <v>35968750.248763718</v>
      </c>
      <c r="BE52">
        <v>35968747.877204083</v>
      </c>
      <c r="BF52">
        <v>35969299.588440374</v>
      </c>
      <c r="BG52">
        <v>470471253253.82941</v>
      </c>
      <c r="BH52">
        <v>31020</v>
      </c>
      <c r="BI52">
        <v>2.3715596330275228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6.5932878977324554E-8</v>
      </c>
      <c r="BV52">
        <v>6.5932878977324554E-8</v>
      </c>
      <c r="BW52">
        <v>2.3715596330275228</v>
      </c>
      <c r="BX52">
        <v>2.3715596330275228</v>
      </c>
      <c r="BY52">
        <v>18846</v>
      </c>
      <c r="BZ52">
        <v>0</v>
      </c>
      <c r="CA52">
        <v>0</v>
      </c>
      <c r="CB52">
        <v>0</v>
      </c>
      <c r="CC52">
        <v>12174</v>
      </c>
      <c r="CD52">
        <v>18846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67.63333333333334</v>
      </c>
      <c r="CK52">
        <v>104.7</v>
      </c>
      <c r="CL52">
        <v>0</v>
      </c>
      <c r="CM52">
        <v>0</v>
      </c>
      <c r="CN52" t="s">
        <v>300</v>
      </c>
      <c r="CO52">
        <v>180</v>
      </c>
      <c r="CP52" t="s">
        <v>239</v>
      </c>
      <c r="CQ52">
        <v>1</v>
      </c>
      <c r="CR52">
        <v>31020</v>
      </c>
      <c r="CS52">
        <v>172.33333333333329</v>
      </c>
      <c r="CT52" t="s">
        <v>113</v>
      </c>
      <c r="CU52">
        <v>329.90180035650621</v>
      </c>
      <c r="CV52" s="8">
        <f t="shared" ref="CV52:CV53" si="12">CJ52/SUBTOTAL(9,$CJ$20:$CJ$73)</f>
        <v>0.16736433883007099</v>
      </c>
      <c r="CW52">
        <f t="shared" ref="CW52:CW53" si="13">CU52*CV52</f>
        <v>55.213796695516741</v>
      </c>
      <c r="CX52">
        <f t="shared" ref="CX52:CX53" si="14">CJ52-CW52</f>
        <v>12.419536637816599</v>
      </c>
      <c r="CY52" s="11">
        <f t="shared" ref="CY52:CY53" si="15">IF(CN52="",O52*CX52,CO52*CX52/CQ52)</f>
        <v>2235.5165948069875</v>
      </c>
    </row>
    <row r="53" spans="1:103" x14ac:dyDescent="0.25">
      <c r="A53" s="2">
        <v>46082</v>
      </c>
      <c r="B53" t="s">
        <v>198</v>
      </c>
      <c r="C53" t="s">
        <v>98</v>
      </c>
      <c r="D53" t="s">
        <v>112</v>
      </c>
      <c r="E53">
        <v>1</v>
      </c>
      <c r="F53">
        <v>2</v>
      </c>
      <c r="G53" t="s">
        <v>294</v>
      </c>
      <c r="H53" t="s">
        <v>295</v>
      </c>
      <c r="I53" t="s">
        <v>150</v>
      </c>
      <c r="J53" t="s">
        <v>103</v>
      </c>
      <c r="K53" t="s">
        <v>104</v>
      </c>
      <c r="L53" t="s">
        <v>296</v>
      </c>
      <c r="M53">
        <v>12</v>
      </c>
      <c r="N53">
        <v>3.3</v>
      </c>
      <c r="O53">
        <v>13080</v>
      </c>
      <c r="P53">
        <v>3</v>
      </c>
      <c r="Q53" t="s">
        <v>281</v>
      </c>
      <c r="R53" t="s">
        <v>275</v>
      </c>
      <c r="S53">
        <v>6.8400000000000002E-2</v>
      </c>
      <c r="T53">
        <v>2556</v>
      </c>
      <c r="U53">
        <v>12</v>
      </c>
      <c r="V53">
        <v>0</v>
      </c>
      <c r="W53">
        <v>3426</v>
      </c>
      <c r="X53" t="s">
        <v>297</v>
      </c>
      <c r="Y53" t="s">
        <v>301</v>
      </c>
      <c r="Z53" t="s">
        <v>302</v>
      </c>
      <c r="AA53">
        <v>15474</v>
      </c>
      <c r="AB53">
        <v>18846</v>
      </c>
      <c r="AC53">
        <v>18846</v>
      </c>
      <c r="AD53">
        <v>0</v>
      </c>
      <c r="AE53">
        <v>180</v>
      </c>
      <c r="AF53">
        <v>15294</v>
      </c>
      <c r="AG53">
        <v>0</v>
      </c>
      <c r="AH53">
        <v>15546</v>
      </c>
      <c r="AI53">
        <v>0</v>
      </c>
      <c r="AJ53">
        <v>0</v>
      </c>
      <c r="AK53">
        <v>0</v>
      </c>
      <c r="AL53" t="s">
        <v>301</v>
      </c>
      <c r="AM53">
        <v>18846</v>
      </c>
      <c r="AN53">
        <v>18846</v>
      </c>
      <c r="AO53">
        <v>0</v>
      </c>
      <c r="AP53">
        <v>180</v>
      </c>
      <c r="AQ53">
        <v>15294</v>
      </c>
      <c r="AR53">
        <v>0</v>
      </c>
      <c r="AS53">
        <v>15546</v>
      </c>
      <c r="AT53">
        <v>0</v>
      </c>
      <c r="AU53" t="s">
        <v>282</v>
      </c>
      <c r="AV53" t="s">
        <v>299</v>
      </c>
      <c r="AW53">
        <v>35969301.960000001</v>
      </c>
      <c r="AX53">
        <v>35969301.960000001</v>
      </c>
      <c r="AY53" t="s">
        <v>112</v>
      </c>
      <c r="AZ53">
        <v>0</v>
      </c>
      <c r="BA53">
        <v>0</v>
      </c>
      <c r="BB53">
        <v>35968930.112188347</v>
      </c>
      <c r="BC53">
        <v>35969299.588440374</v>
      </c>
      <c r="BD53">
        <v>35968930.112188347</v>
      </c>
      <c r="BE53">
        <v>35968930.112188347</v>
      </c>
      <c r="BF53">
        <v>35969299.588440374</v>
      </c>
      <c r="BG53">
        <v>470473605867.42358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300</v>
      </c>
      <c r="CO53">
        <v>180</v>
      </c>
      <c r="CP53" t="s">
        <v>239</v>
      </c>
      <c r="CQ53">
        <v>1</v>
      </c>
      <c r="CR53">
        <v>0</v>
      </c>
      <c r="CS53">
        <v>0</v>
      </c>
      <c r="CT53" t="s">
        <v>113</v>
      </c>
      <c r="CU53">
        <v>329.90180035650621</v>
      </c>
      <c r="CV53" s="8">
        <f t="shared" si="12"/>
        <v>0</v>
      </c>
      <c r="CW53">
        <f t="shared" si="13"/>
        <v>0</v>
      </c>
      <c r="CX53">
        <f t="shared" si="14"/>
        <v>0</v>
      </c>
      <c r="CY53" s="11">
        <f t="shared" si="15"/>
        <v>0</v>
      </c>
    </row>
    <row r="54" spans="1:103" hidden="1" x14ac:dyDescent="0.25">
      <c r="A54" s="2">
        <v>46082</v>
      </c>
      <c r="B54" t="s">
        <v>98</v>
      </c>
      <c r="C54" t="s">
        <v>98</v>
      </c>
      <c r="D54" t="s">
        <v>99</v>
      </c>
      <c r="E54">
        <v>1</v>
      </c>
      <c r="F54">
        <v>1</v>
      </c>
      <c r="G54" t="s">
        <v>303</v>
      </c>
      <c r="H54" t="s">
        <v>304</v>
      </c>
      <c r="I54" t="s">
        <v>150</v>
      </c>
      <c r="J54" t="s">
        <v>103</v>
      </c>
      <c r="K54" t="s">
        <v>104</v>
      </c>
      <c r="L54" t="s">
        <v>305</v>
      </c>
      <c r="M54">
        <v>10</v>
      </c>
      <c r="N54">
        <v>3.1</v>
      </c>
      <c r="O54">
        <v>11610</v>
      </c>
      <c r="P54">
        <v>3</v>
      </c>
      <c r="Q54" t="s">
        <v>274</v>
      </c>
      <c r="R54" t="s">
        <v>275</v>
      </c>
      <c r="S54">
        <v>5.2499999999999998E-2</v>
      </c>
      <c r="T54">
        <v>10530</v>
      </c>
      <c r="U54">
        <v>10</v>
      </c>
      <c r="V54">
        <v>0</v>
      </c>
      <c r="W54">
        <v>1424</v>
      </c>
      <c r="X54" t="s">
        <v>306</v>
      </c>
      <c r="Y54" t="s">
        <v>306</v>
      </c>
      <c r="Z54" t="s">
        <v>307</v>
      </c>
      <c r="AA54">
        <v>1830</v>
      </c>
      <c r="AB54">
        <v>10679</v>
      </c>
      <c r="AC54">
        <v>17086.400000000001</v>
      </c>
      <c r="AD54">
        <v>0</v>
      </c>
      <c r="AE54">
        <v>0</v>
      </c>
      <c r="AF54">
        <v>1830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10679</v>
      </c>
      <c r="AN54">
        <v>17086.400000000001</v>
      </c>
      <c r="AO54">
        <v>0</v>
      </c>
      <c r="AP54">
        <v>0</v>
      </c>
      <c r="AQ54">
        <v>1830</v>
      </c>
      <c r="AR54">
        <v>0</v>
      </c>
      <c r="AS54">
        <v>0</v>
      </c>
      <c r="AT54">
        <v>0</v>
      </c>
      <c r="AU54" t="s">
        <v>278</v>
      </c>
      <c r="AV54" t="s">
        <v>308</v>
      </c>
      <c r="AW54">
        <v>35969301.960000001</v>
      </c>
      <c r="AX54">
        <v>35969301.960000001</v>
      </c>
      <c r="AY54" t="s">
        <v>112</v>
      </c>
      <c r="AZ54">
        <v>0</v>
      </c>
      <c r="BA54">
        <v>0</v>
      </c>
      <c r="BB54">
        <v>35969068.33049307</v>
      </c>
      <c r="BC54">
        <v>35969301.960000001</v>
      </c>
      <c r="BD54">
        <v>35969068.33049307</v>
      </c>
      <c r="BE54">
        <v>35969068.33049307</v>
      </c>
      <c r="BF54">
        <v>35969301.960000001</v>
      </c>
      <c r="BG54">
        <v>417600883317.02448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309</v>
      </c>
      <c r="CO54">
        <v>240</v>
      </c>
      <c r="CP54" t="s">
        <v>245</v>
      </c>
      <c r="CQ54">
        <v>1</v>
      </c>
      <c r="CR54">
        <v>0</v>
      </c>
      <c r="CS54">
        <v>0</v>
      </c>
      <c r="CT54" t="s">
        <v>113</v>
      </c>
      <c r="CY54"/>
    </row>
    <row r="55" spans="1:103" hidden="1" x14ac:dyDescent="0.25">
      <c r="A55" s="2">
        <v>46082</v>
      </c>
      <c r="B55" t="s">
        <v>98</v>
      </c>
      <c r="C55" t="s">
        <v>98</v>
      </c>
      <c r="D55" t="s">
        <v>99</v>
      </c>
      <c r="E55">
        <v>1</v>
      </c>
      <c r="F55">
        <v>2</v>
      </c>
      <c r="G55" t="s">
        <v>303</v>
      </c>
      <c r="H55" t="s">
        <v>304</v>
      </c>
      <c r="I55" t="s">
        <v>150</v>
      </c>
      <c r="J55" t="s">
        <v>103</v>
      </c>
      <c r="K55" t="s">
        <v>104</v>
      </c>
      <c r="L55" t="s">
        <v>305</v>
      </c>
      <c r="M55">
        <v>10</v>
      </c>
      <c r="N55">
        <v>3.1</v>
      </c>
      <c r="O55">
        <v>11610</v>
      </c>
      <c r="P55">
        <v>3</v>
      </c>
      <c r="Q55" t="s">
        <v>281</v>
      </c>
      <c r="R55" t="s">
        <v>275</v>
      </c>
      <c r="S55">
        <v>5.2499999999999998E-2</v>
      </c>
      <c r="T55">
        <v>10530</v>
      </c>
      <c r="U55">
        <v>10</v>
      </c>
      <c r="V55">
        <v>0</v>
      </c>
      <c r="W55">
        <v>1425</v>
      </c>
      <c r="X55" t="s">
        <v>306</v>
      </c>
      <c r="Y55" t="s">
        <v>306</v>
      </c>
      <c r="Z55" t="s">
        <v>307</v>
      </c>
      <c r="AA55">
        <v>1830</v>
      </c>
      <c r="AB55">
        <v>10679</v>
      </c>
      <c r="AC55">
        <v>17086.400000000001</v>
      </c>
      <c r="AD55">
        <v>0</v>
      </c>
      <c r="AE55">
        <v>0</v>
      </c>
      <c r="AF55">
        <v>1830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306</v>
      </c>
      <c r="AM55">
        <v>10679</v>
      </c>
      <c r="AN55">
        <v>17086.400000000001</v>
      </c>
      <c r="AO55">
        <v>0</v>
      </c>
      <c r="AP55">
        <v>0</v>
      </c>
      <c r="AQ55">
        <v>1830</v>
      </c>
      <c r="AR55">
        <v>0</v>
      </c>
      <c r="AS55">
        <v>0</v>
      </c>
      <c r="AT55">
        <v>0</v>
      </c>
      <c r="AU55" t="s">
        <v>282</v>
      </c>
      <c r="AV55" t="s">
        <v>308</v>
      </c>
      <c r="AW55">
        <v>35969301.960000001</v>
      </c>
      <c r="AX55">
        <v>35969301.960000001</v>
      </c>
      <c r="AY55" t="s">
        <v>112</v>
      </c>
      <c r="AZ55">
        <v>0</v>
      </c>
      <c r="BA55">
        <v>0</v>
      </c>
      <c r="BB55">
        <v>35969142.707472473</v>
      </c>
      <c r="BC55">
        <v>35969301.960000001</v>
      </c>
      <c r="BD55">
        <v>35969142.707472473</v>
      </c>
      <c r="BE55">
        <v>35969142.707472473</v>
      </c>
      <c r="BF55">
        <v>35969301.960000001</v>
      </c>
      <c r="BG55">
        <v>417601746833.75531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309</v>
      </c>
      <c r="CO55">
        <v>240</v>
      </c>
      <c r="CP55" t="s">
        <v>245</v>
      </c>
      <c r="CQ55">
        <v>1</v>
      </c>
      <c r="CR55">
        <v>0</v>
      </c>
      <c r="CS55">
        <v>0</v>
      </c>
      <c r="CT55" t="s">
        <v>113</v>
      </c>
      <c r="CY55"/>
    </row>
    <row r="56" spans="1:103" x14ac:dyDescent="0.25">
      <c r="A56" s="2">
        <v>46082</v>
      </c>
      <c r="B56" t="s">
        <v>198</v>
      </c>
      <c r="C56" t="s">
        <v>98</v>
      </c>
      <c r="D56" t="s">
        <v>112</v>
      </c>
      <c r="E56">
        <v>1</v>
      </c>
      <c r="F56">
        <v>1</v>
      </c>
      <c r="G56" t="s">
        <v>303</v>
      </c>
      <c r="H56" t="s">
        <v>304</v>
      </c>
      <c r="I56" t="s">
        <v>150</v>
      </c>
      <c r="J56" t="s">
        <v>103</v>
      </c>
      <c r="K56" t="s">
        <v>104</v>
      </c>
      <c r="L56" t="s">
        <v>305</v>
      </c>
      <c r="M56">
        <v>10</v>
      </c>
      <c r="N56">
        <v>3.1</v>
      </c>
      <c r="O56">
        <v>11610</v>
      </c>
      <c r="P56">
        <v>3</v>
      </c>
      <c r="Q56" t="s">
        <v>274</v>
      </c>
      <c r="R56" t="s">
        <v>275</v>
      </c>
      <c r="S56">
        <v>5.2499999999999998E-2</v>
      </c>
      <c r="T56">
        <v>7120</v>
      </c>
      <c r="U56">
        <v>10</v>
      </c>
      <c r="V56">
        <v>0</v>
      </c>
      <c r="W56">
        <v>3451</v>
      </c>
      <c r="X56" t="s">
        <v>306</v>
      </c>
      <c r="Y56" t="s">
        <v>310</v>
      </c>
      <c r="Z56" t="s">
        <v>311</v>
      </c>
      <c r="AA56">
        <v>21231</v>
      </c>
      <c r="AB56">
        <v>23260</v>
      </c>
      <c r="AC56">
        <v>23260</v>
      </c>
      <c r="AD56">
        <v>0</v>
      </c>
      <c r="AE56">
        <v>0</v>
      </c>
      <c r="AF56">
        <v>21231</v>
      </c>
      <c r="AG56">
        <v>0</v>
      </c>
      <c r="AH56">
        <v>21318</v>
      </c>
      <c r="AI56">
        <v>0</v>
      </c>
      <c r="AJ56">
        <v>0</v>
      </c>
      <c r="AK56">
        <v>0</v>
      </c>
      <c r="AM56">
        <v>23260</v>
      </c>
      <c r="AN56">
        <v>23260</v>
      </c>
      <c r="AO56">
        <v>0</v>
      </c>
      <c r="AP56">
        <v>0</v>
      </c>
      <c r="AQ56">
        <v>21231</v>
      </c>
      <c r="AR56">
        <v>0</v>
      </c>
      <c r="AS56">
        <v>21318</v>
      </c>
      <c r="AT56">
        <v>0</v>
      </c>
      <c r="AU56" t="s">
        <v>278</v>
      </c>
      <c r="AV56" t="s">
        <v>308</v>
      </c>
      <c r="AW56">
        <v>35969301.960000001</v>
      </c>
      <c r="AX56">
        <v>35969301.960000001</v>
      </c>
      <c r="AY56" t="s">
        <v>112</v>
      </c>
      <c r="AZ56">
        <v>42550</v>
      </c>
      <c r="BA56">
        <v>3.664944013781223</v>
      </c>
      <c r="BB56">
        <v>35968747.877204083</v>
      </c>
      <c r="BC56">
        <v>35969301.960000001</v>
      </c>
      <c r="BD56">
        <v>35968747.877204083</v>
      </c>
      <c r="BE56">
        <v>35968744.212260067</v>
      </c>
      <c r="BF56">
        <v>35969298.295055993</v>
      </c>
      <c r="BG56">
        <v>417597162854.33942</v>
      </c>
      <c r="BH56">
        <v>42550</v>
      </c>
      <c r="BI56">
        <v>3.664944013781223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1.0189088511800591E-7</v>
      </c>
      <c r="BV56">
        <v>1.0189088511800591E-7</v>
      </c>
      <c r="BW56">
        <v>3.664944013781223</v>
      </c>
      <c r="BX56">
        <v>3.664944013781223</v>
      </c>
      <c r="BY56">
        <v>23260</v>
      </c>
      <c r="BZ56">
        <v>0</v>
      </c>
      <c r="CA56">
        <v>0</v>
      </c>
      <c r="CB56">
        <v>0</v>
      </c>
      <c r="CC56">
        <v>19289</v>
      </c>
      <c r="CD56">
        <v>23260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80.370833333333351</v>
      </c>
      <c r="CK56">
        <v>96.916666666666657</v>
      </c>
      <c r="CL56">
        <v>0</v>
      </c>
      <c r="CM56">
        <v>4.1666666666666666E-3</v>
      </c>
      <c r="CN56" t="s">
        <v>309</v>
      </c>
      <c r="CO56">
        <v>240</v>
      </c>
      <c r="CP56" t="s">
        <v>245</v>
      </c>
      <c r="CQ56">
        <v>1</v>
      </c>
      <c r="CR56">
        <v>42550</v>
      </c>
      <c r="CS56">
        <v>177.29166666666671</v>
      </c>
      <c r="CT56" t="s">
        <v>113</v>
      </c>
      <c r="CU56">
        <v>329.90180035650621</v>
      </c>
      <c r="CV56" s="8">
        <f t="shared" ref="CV56:CV57" si="16">CJ56/SUBTOTAL(9,$CJ$20:$CJ$73)</f>
        <v>0.19888434768933216</v>
      </c>
      <c r="CW56">
        <f t="shared" ref="CW56:CW57" si="17">CU56*CV56</f>
        <v>65.612304365440025</v>
      </c>
      <c r="CX56">
        <f t="shared" ref="CX56:CX57" si="18">CJ56-CW56</f>
        <v>14.758528967893326</v>
      </c>
      <c r="CY56" s="11">
        <f t="shared" ref="CY56:CY57" si="19">IF(CN56="",O56*CX56,CO56*CX56/CQ56)</f>
        <v>3542.0469522943986</v>
      </c>
    </row>
    <row r="57" spans="1:103" x14ac:dyDescent="0.25">
      <c r="A57" s="2">
        <v>46082</v>
      </c>
      <c r="B57" t="s">
        <v>198</v>
      </c>
      <c r="C57" t="s">
        <v>98</v>
      </c>
      <c r="D57" t="s">
        <v>112</v>
      </c>
      <c r="E57">
        <v>1</v>
      </c>
      <c r="F57">
        <v>2</v>
      </c>
      <c r="G57" t="s">
        <v>303</v>
      </c>
      <c r="H57" t="s">
        <v>304</v>
      </c>
      <c r="I57" t="s">
        <v>150</v>
      </c>
      <c r="J57" t="s">
        <v>103</v>
      </c>
      <c r="K57" t="s">
        <v>104</v>
      </c>
      <c r="L57" t="s">
        <v>305</v>
      </c>
      <c r="M57">
        <v>10</v>
      </c>
      <c r="N57">
        <v>3.1</v>
      </c>
      <c r="O57">
        <v>11610</v>
      </c>
      <c r="P57">
        <v>3</v>
      </c>
      <c r="Q57" t="s">
        <v>281</v>
      </c>
      <c r="R57" t="s">
        <v>275</v>
      </c>
      <c r="S57">
        <v>5.2499999999999998E-2</v>
      </c>
      <c r="T57">
        <v>7120</v>
      </c>
      <c r="U57">
        <v>10</v>
      </c>
      <c r="V57">
        <v>0</v>
      </c>
      <c r="W57">
        <v>3452</v>
      </c>
      <c r="X57" t="s">
        <v>306</v>
      </c>
      <c r="Y57" t="s">
        <v>310</v>
      </c>
      <c r="Z57" t="s">
        <v>311</v>
      </c>
      <c r="AA57">
        <v>21231</v>
      </c>
      <c r="AB57">
        <v>23260</v>
      </c>
      <c r="AC57">
        <v>23260</v>
      </c>
      <c r="AD57">
        <v>0</v>
      </c>
      <c r="AE57">
        <v>0</v>
      </c>
      <c r="AF57">
        <v>21231</v>
      </c>
      <c r="AG57">
        <v>0</v>
      </c>
      <c r="AH57">
        <v>21318</v>
      </c>
      <c r="AI57">
        <v>0</v>
      </c>
      <c r="AJ57">
        <v>0</v>
      </c>
      <c r="AK57">
        <v>0</v>
      </c>
      <c r="AL57" t="s">
        <v>310</v>
      </c>
      <c r="AM57">
        <v>23260</v>
      </c>
      <c r="AN57">
        <v>23260</v>
      </c>
      <c r="AO57">
        <v>0</v>
      </c>
      <c r="AP57">
        <v>0</v>
      </c>
      <c r="AQ57">
        <v>21231</v>
      </c>
      <c r="AR57">
        <v>0</v>
      </c>
      <c r="AS57">
        <v>21318</v>
      </c>
      <c r="AT57">
        <v>0</v>
      </c>
      <c r="AU57" t="s">
        <v>282</v>
      </c>
      <c r="AV57" t="s">
        <v>308</v>
      </c>
      <c r="AW57">
        <v>35969301.960000001</v>
      </c>
      <c r="AX57">
        <v>35969301.960000001</v>
      </c>
      <c r="AY57" t="s">
        <v>112</v>
      </c>
      <c r="AZ57">
        <v>0</v>
      </c>
      <c r="BA57">
        <v>0</v>
      </c>
      <c r="BB57">
        <v>35968930.112188347</v>
      </c>
      <c r="BC57">
        <v>35969298.295055993</v>
      </c>
      <c r="BD57">
        <v>35968930.112188347</v>
      </c>
      <c r="BE57">
        <v>35968930.112188347</v>
      </c>
      <c r="BF57">
        <v>35969298.295055993</v>
      </c>
      <c r="BG57">
        <v>417599278602.50671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309</v>
      </c>
      <c r="CO57">
        <v>240</v>
      </c>
      <c r="CP57" t="s">
        <v>245</v>
      </c>
      <c r="CQ57">
        <v>1</v>
      </c>
      <c r="CR57">
        <v>0</v>
      </c>
      <c r="CS57">
        <v>0</v>
      </c>
      <c r="CT57" t="s">
        <v>113</v>
      </c>
      <c r="CU57">
        <v>329.90180035650621</v>
      </c>
      <c r="CV57" s="8">
        <f t="shared" si="16"/>
        <v>0</v>
      </c>
      <c r="CW57">
        <f t="shared" si="17"/>
        <v>0</v>
      </c>
      <c r="CX57">
        <f t="shared" si="18"/>
        <v>0</v>
      </c>
      <c r="CY57" s="11">
        <f t="shared" si="19"/>
        <v>0</v>
      </c>
    </row>
    <row r="58" spans="1:103" hidden="1" x14ac:dyDescent="0.25">
      <c r="A58" s="2">
        <v>46082</v>
      </c>
      <c r="B58" t="s">
        <v>98</v>
      </c>
      <c r="C58" t="s">
        <v>98</v>
      </c>
      <c r="D58" t="s">
        <v>99</v>
      </c>
      <c r="E58">
        <v>1</v>
      </c>
      <c r="F58">
        <v>1</v>
      </c>
      <c r="G58" t="s">
        <v>312</v>
      </c>
      <c r="H58" t="s">
        <v>313</v>
      </c>
      <c r="I58" t="s">
        <v>150</v>
      </c>
      <c r="J58" t="s">
        <v>103</v>
      </c>
      <c r="K58" t="s">
        <v>104</v>
      </c>
      <c r="L58" t="s">
        <v>314</v>
      </c>
      <c r="M58">
        <v>8</v>
      </c>
      <c r="N58">
        <v>3.3</v>
      </c>
      <c r="O58">
        <v>8720</v>
      </c>
      <c r="P58">
        <v>3</v>
      </c>
      <c r="Q58" t="s">
        <v>274</v>
      </c>
      <c r="R58" t="s">
        <v>275</v>
      </c>
      <c r="S58">
        <v>5.9299999999999999E-2</v>
      </c>
      <c r="T58">
        <v>11696</v>
      </c>
      <c r="U58">
        <v>8</v>
      </c>
      <c r="V58">
        <v>0</v>
      </c>
      <c r="W58">
        <v>1426</v>
      </c>
      <c r="X58" t="s">
        <v>315</v>
      </c>
      <c r="Y58" t="s">
        <v>315</v>
      </c>
      <c r="Z58" t="s">
        <v>316</v>
      </c>
      <c r="AA58">
        <v>3229</v>
      </c>
      <c r="AB58">
        <v>12210</v>
      </c>
      <c r="AC58">
        <v>19536</v>
      </c>
      <c r="AD58">
        <v>0</v>
      </c>
      <c r="AE58">
        <v>0</v>
      </c>
      <c r="AF58">
        <v>3229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12210</v>
      </c>
      <c r="AN58">
        <v>19536</v>
      </c>
      <c r="AO58">
        <v>0</v>
      </c>
      <c r="AP58">
        <v>0</v>
      </c>
      <c r="AQ58">
        <v>3229</v>
      </c>
      <c r="AR58">
        <v>0</v>
      </c>
      <c r="AS58">
        <v>0</v>
      </c>
      <c r="AT58">
        <v>0</v>
      </c>
      <c r="AU58" t="s">
        <v>278</v>
      </c>
      <c r="AV58" t="s">
        <v>317</v>
      </c>
      <c r="AW58">
        <v>35969301.960000001</v>
      </c>
      <c r="AX58">
        <v>35969301.960000001</v>
      </c>
      <c r="AY58" t="s">
        <v>112</v>
      </c>
      <c r="AZ58">
        <v>0</v>
      </c>
      <c r="BA58">
        <v>0</v>
      </c>
      <c r="BB58">
        <v>35969068.33049307</v>
      </c>
      <c r="BC58">
        <v>35969301.960000001</v>
      </c>
      <c r="BD58">
        <v>35969068.33049307</v>
      </c>
      <c r="BE58">
        <v>35969068.33049307</v>
      </c>
      <c r="BF58">
        <v>35969301.960000001</v>
      </c>
      <c r="BG58">
        <v>313650275841.8996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318</v>
      </c>
      <c r="CO58">
        <v>240</v>
      </c>
      <c r="CP58" t="s">
        <v>251</v>
      </c>
      <c r="CQ58">
        <v>1</v>
      </c>
      <c r="CR58">
        <v>0</v>
      </c>
      <c r="CS58">
        <v>0</v>
      </c>
      <c r="CT58" t="s">
        <v>113</v>
      </c>
      <c r="CY58"/>
    </row>
    <row r="59" spans="1:103" hidden="1" x14ac:dyDescent="0.25">
      <c r="A59" s="2">
        <v>46082</v>
      </c>
      <c r="B59" t="s">
        <v>98</v>
      </c>
      <c r="C59" t="s">
        <v>98</v>
      </c>
      <c r="D59" t="s">
        <v>99</v>
      </c>
      <c r="E59">
        <v>1</v>
      </c>
      <c r="F59">
        <v>2</v>
      </c>
      <c r="G59" t="s">
        <v>312</v>
      </c>
      <c r="H59" t="s">
        <v>313</v>
      </c>
      <c r="I59" t="s">
        <v>150</v>
      </c>
      <c r="J59" t="s">
        <v>103</v>
      </c>
      <c r="K59" t="s">
        <v>104</v>
      </c>
      <c r="L59" t="s">
        <v>319</v>
      </c>
      <c r="M59">
        <v>8</v>
      </c>
      <c r="N59">
        <v>9.2100000000000009</v>
      </c>
      <c r="O59">
        <v>3120</v>
      </c>
      <c r="P59">
        <v>6</v>
      </c>
      <c r="Q59" t="s">
        <v>281</v>
      </c>
      <c r="R59" t="s">
        <v>275</v>
      </c>
      <c r="S59">
        <v>5.9299999999999999E-2</v>
      </c>
      <c r="T59">
        <v>11696</v>
      </c>
      <c r="U59">
        <v>8</v>
      </c>
      <c r="V59">
        <v>0</v>
      </c>
      <c r="W59">
        <v>1427</v>
      </c>
      <c r="X59" t="s">
        <v>315</v>
      </c>
      <c r="Y59" t="s">
        <v>315</v>
      </c>
      <c r="Z59" t="s">
        <v>316</v>
      </c>
      <c r="AA59">
        <v>3229</v>
      </c>
      <c r="AB59">
        <v>12210</v>
      </c>
      <c r="AC59">
        <v>19536</v>
      </c>
      <c r="AD59">
        <v>0</v>
      </c>
      <c r="AE59">
        <v>0</v>
      </c>
      <c r="AF59">
        <v>3229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315</v>
      </c>
      <c r="AM59">
        <v>12210</v>
      </c>
      <c r="AN59">
        <v>19536</v>
      </c>
      <c r="AO59">
        <v>0</v>
      </c>
      <c r="AP59">
        <v>0</v>
      </c>
      <c r="AQ59">
        <v>3229</v>
      </c>
      <c r="AR59">
        <v>0</v>
      </c>
      <c r="AS59">
        <v>0</v>
      </c>
      <c r="AT59">
        <v>0</v>
      </c>
      <c r="AU59" t="s">
        <v>282</v>
      </c>
      <c r="AV59" t="s">
        <v>320</v>
      </c>
      <c r="AW59">
        <v>35969301.960000001</v>
      </c>
      <c r="AX59">
        <v>35969301.960000001</v>
      </c>
      <c r="AY59" t="s">
        <v>112</v>
      </c>
      <c r="AZ59">
        <v>0</v>
      </c>
      <c r="BA59">
        <v>0</v>
      </c>
      <c r="BB59">
        <v>35969142.707472473</v>
      </c>
      <c r="BC59">
        <v>35969301.960000001</v>
      </c>
      <c r="BD59">
        <v>35969142.707472473</v>
      </c>
      <c r="BE59">
        <v>35969142.707472473</v>
      </c>
      <c r="BF59">
        <v>35969301.960000001</v>
      </c>
      <c r="BG59">
        <v>112223725247.3141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318</v>
      </c>
      <c r="CO59">
        <v>240</v>
      </c>
      <c r="CP59" t="s">
        <v>251</v>
      </c>
      <c r="CQ59">
        <v>1</v>
      </c>
      <c r="CR59">
        <v>0</v>
      </c>
      <c r="CS59">
        <v>0</v>
      </c>
      <c r="CT59" t="s">
        <v>113</v>
      </c>
      <c r="CY59"/>
    </row>
    <row r="60" spans="1:103" x14ac:dyDescent="0.25">
      <c r="A60" s="2">
        <v>46082</v>
      </c>
      <c r="B60" t="s">
        <v>198</v>
      </c>
      <c r="C60" t="s">
        <v>98</v>
      </c>
      <c r="D60" t="s">
        <v>112</v>
      </c>
      <c r="E60">
        <v>1</v>
      </c>
      <c r="F60">
        <v>1</v>
      </c>
      <c r="G60" t="s">
        <v>312</v>
      </c>
      <c r="H60" t="s">
        <v>313</v>
      </c>
      <c r="I60" t="s">
        <v>150</v>
      </c>
      <c r="J60" t="s">
        <v>103</v>
      </c>
      <c r="K60" t="s">
        <v>104</v>
      </c>
      <c r="L60" t="s">
        <v>314</v>
      </c>
      <c r="M60">
        <v>8</v>
      </c>
      <c r="N60">
        <v>3.3</v>
      </c>
      <c r="O60">
        <v>8720</v>
      </c>
      <c r="P60">
        <v>3</v>
      </c>
      <c r="Q60" t="s">
        <v>274</v>
      </c>
      <c r="R60" t="s">
        <v>275</v>
      </c>
      <c r="S60">
        <v>5.9299999999999999E-2</v>
      </c>
      <c r="T60">
        <v>7256</v>
      </c>
      <c r="U60">
        <v>8</v>
      </c>
      <c r="V60">
        <v>0</v>
      </c>
      <c r="W60">
        <v>3453</v>
      </c>
      <c r="X60" t="s">
        <v>315</v>
      </c>
      <c r="Y60" t="s">
        <v>321</v>
      </c>
      <c r="Z60" t="s">
        <v>322</v>
      </c>
      <c r="AA60">
        <v>10911</v>
      </c>
      <c r="AB60">
        <v>15417</v>
      </c>
      <c r="AC60">
        <v>15673</v>
      </c>
      <c r="AD60">
        <v>0</v>
      </c>
      <c r="AE60">
        <v>80</v>
      </c>
      <c r="AF60">
        <v>10831</v>
      </c>
      <c r="AG60">
        <v>0</v>
      </c>
      <c r="AH60">
        <v>10260</v>
      </c>
      <c r="AI60">
        <v>0</v>
      </c>
      <c r="AJ60">
        <v>0</v>
      </c>
      <c r="AK60">
        <v>0</v>
      </c>
      <c r="AM60">
        <v>15417</v>
      </c>
      <c r="AN60">
        <v>15673</v>
      </c>
      <c r="AO60">
        <v>0</v>
      </c>
      <c r="AP60">
        <v>80</v>
      </c>
      <c r="AQ60">
        <v>10831</v>
      </c>
      <c r="AR60">
        <v>0</v>
      </c>
      <c r="AS60">
        <v>10260</v>
      </c>
      <c r="AT60">
        <v>0</v>
      </c>
      <c r="AU60" t="s">
        <v>278</v>
      </c>
      <c r="AV60" t="s">
        <v>317</v>
      </c>
      <c r="AW60">
        <v>35969301.960000001</v>
      </c>
      <c r="AX60">
        <v>35969301.960000001</v>
      </c>
      <c r="AY60" t="s">
        <v>112</v>
      </c>
      <c r="AZ60">
        <v>20920</v>
      </c>
      <c r="BA60">
        <v>2.3990825688073389</v>
      </c>
      <c r="BB60">
        <v>35968744.212260067</v>
      </c>
      <c r="BC60">
        <v>35969301.960000001</v>
      </c>
      <c r="BD60">
        <v>35968744.212260067</v>
      </c>
      <c r="BE60">
        <v>35968741.813177504</v>
      </c>
      <c r="BF60">
        <v>35969299.56091743</v>
      </c>
      <c r="BG60">
        <v>313647449530.90778</v>
      </c>
      <c r="BH60">
        <v>20920</v>
      </c>
      <c r="BI60">
        <v>2.3990825688073389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6.6698057456751917E-8</v>
      </c>
      <c r="BV60">
        <v>6.6698057456751917E-8</v>
      </c>
      <c r="BW60">
        <v>2.3990825688073389</v>
      </c>
      <c r="BX60">
        <v>2.3990825688073389</v>
      </c>
      <c r="BY60">
        <v>15673</v>
      </c>
      <c r="BZ60">
        <v>0</v>
      </c>
      <c r="CA60">
        <v>0</v>
      </c>
      <c r="CB60">
        <v>0</v>
      </c>
      <c r="CC60">
        <v>5498</v>
      </c>
      <c r="CD60">
        <v>15417</v>
      </c>
      <c r="CE60">
        <v>0</v>
      </c>
      <c r="CF60">
        <v>5</v>
      </c>
      <c r="CG60">
        <v>0</v>
      </c>
      <c r="CH60">
        <v>0</v>
      </c>
      <c r="CI60">
        <v>0</v>
      </c>
      <c r="CJ60">
        <v>22.908333333333331</v>
      </c>
      <c r="CK60">
        <v>64.237499999999997</v>
      </c>
      <c r="CL60">
        <v>0</v>
      </c>
      <c r="CM60">
        <v>2.0833333333333339E-2</v>
      </c>
      <c r="CN60" t="s">
        <v>318</v>
      </c>
      <c r="CO60">
        <v>240</v>
      </c>
      <c r="CP60" t="s">
        <v>251</v>
      </c>
      <c r="CQ60">
        <v>1</v>
      </c>
      <c r="CR60">
        <v>20920</v>
      </c>
      <c r="CS60">
        <v>87.166666666666671</v>
      </c>
      <c r="CT60" t="s">
        <v>113</v>
      </c>
      <c r="CU60">
        <v>329.90180035650621</v>
      </c>
      <c r="CV60" s="8">
        <f t="shared" ref="CV60:CV61" si="20">CJ60/SUBTOTAL(9,$CJ$20:$CJ$73)</f>
        <v>5.6688586427287468E-2</v>
      </c>
      <c r="CW60">
        <f t="shared" ref="CW60:CW61" si="21">CU60*CV60</f>
        <v>18.701666722027539</v>
      </c>
      <c r="CX60">
        <f t="shared" ref="CX60:CX61" si="22">CJ60-CW60</f>
        <v>4.206666611305792</v>
      </c>
      <c r="CY60" s="11">
        <f t="shared" ref="CY60:CY61" si="23">IF(CN60="",O60*CX60,CO60*CX60/CQ60)</f>
        <v>1009.5999867133901</v>
      </c>
    </row>
    <row r="61" spans="1:103" x14ac:dyDescent="0.25">
      <c r="A61" s="2">
        <v>46082</v>
      </c>
      <c r="B61" t="s">
        <v>198</v>
      </c>
      <c r="C61" t="s">
        <v>98</v>
      </c>
      <c r="D61" t="s">
        <v>112</v>
      </c>
      <c r="E61">
        <v>1</v>
      </c>
      <c r="F61">
        <v>2</v>
      </c>
      <c r="G61" t="s">
        <v>312</v>
      </c>
      <c r="H61" t="s">
        <v>313</v>
      </c>
      <c r="I61" t="s">
        <v>150</v>
      </c>
      <c r="J61" t="s">
        <v>103</v>
      </c>
      <c r="K61" t="s">
        <v>104</v>
      </c>
      <c r="L61" t="s">
        <v>319</v>
      </c>
      <c r="M61">
        <v>8</v>
      </c>
      <c r="N61">
        <v>9.2100000000000009</v>
      </c>
      <c r="O61">
        <v>3120</v>
      </c>
      <c r="P61">
        <v>6</v>
      </c>
      <c r="Q61" t="s">
        <v>281</v>
      </c>
      <c r="R61" t="s">
        <v>275</v>
      </c>
      <c r="S61">
        <v>5.9299999999999999E-2</v>
      </c>
      <c r="T61">
        <v>7256</v>
      </c>
      <c r="U61">
        <v>8</v>
      </c>
      <c r="V61">
        <v>0</v>
      </c>
      <c r="W61">
        <v>3454</v>
      </c>
      <c r="X61" t="s">
        <v>315</v>
      </c>
      <c r="Y61" t="s">
        <v>321</v>
      </c>
      <c r="Z61" t="s">
        <v>322</v>
      </c>
      <c r="AA61">
        <v>10911</v>
      </c>
      <c r="AB61">
        <v>15417</v>
      </c>
      <c r="AC61">
        <v>15673</v>
      </c>
      <c r="AD61">
        <v>0</v>
      </c>
      <c r="AE61">
        <v>80</v>
      </c>
      <c r="AF61">
        <v>10831</v>
      </c>
      <c r="AG61">
        <v>0</v>
      </c>
      <c r="AH61">
        <v>10260</v>
      </c>
      <c r="AI61">
        <v>0</v>
      </c>
      <c r="AJ61">
        <v>0</v>
      </c>
      <c r="AK61">
        <v>0</v>
      </c>
      <c r="AL61" t="s">
        <v>321</v>
      </c>
      <c r="AM61">
        <v>15417</v>
      </c>
      <c r="AN61">
        <v>15673</v>
      </c>
      <c r="AO61">
        <v>0</v>
      </c>
      <c r="AP61">
        <v>80</v>
      </c>
      <c r="AQ61">
        <v>10831</v>
      </c>
      <c r="AR61">
        <v>0</v>
      </c>
      <c r="AS61">
        <v>10260</v>
      </c>
      <c r="AT61">
        <v>0</v>
      </c>
      <c r="AU61" t="s">
        <v>282</v>
      </c>
      <c r="AV61" t="s">
        <v>320</v>
      </c>
      <c r="AW61">
        <v>35969301.960000001</v>
      </c>
      <c r="AX61">
        <v>35969301.960000001</v>
      </c>
      <c r="AY61" t="s">
        <v>112</v>
      </c>
      <c r="AZ61">
        <v>0</v>
      </c>
      <c r="BA61">
        <v>0</v>
      </c>
      <c r="BB61">
        <v>35968930.112188347</v>
      </c>
      <c r="BC61">
        <v>35969301.960000001</v>
      </c>
      <c r="BD61">
        <v>35968930.112188347</v>
      </c>
      <c r="BE61">
        <v>35968930.112188347</v>
      </c>
      <c r="BF61">
        <v>35969301.960000001</v>
      </c>
      <c r="BG61">
        <v>112223061950.0276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318</v>
      </c>
      <c r="CO61">
        <v>240</v>
      </c>
      <c r="CP61" t="s">
        <v>251</v>
      </c>
      <c r="CQ61">
        <v>1</v>
      </c>
      <c r="CR61">
        <v>0</v>
      </c>
      <c r="CS61">
        <v>0</v>
      </c>
      <c r="CT61" t="s">
        <v>113</v>
      </c>
      <c r="CU61">
        <v>329.90180035650621</v>
      </c>
      <c r="CV61" s="8">
        <f t="shared" si="20"/>
        <v>0</v>
      </c>
      <c r="CW61">
        <f t="shared" si="21"/>
        <v>0</v>
      </c>
      <c r="CX61">
        <f t="shared" si="22"/>
        <v>0</v>
      </c>
      <c r="CY61" s="11">
        <f t="shared" si="23"/>
        <v>0</v>
      </c>
    </row>
    <row r="62" spans="1:103" hidden="1" x14ac:dyDescent="0.25">
      <c r="A62" s="2">
        <v>46082</v>
      </c>
      <c r="B62" t="s">
        <v>98</v>
      </c>
      <c r="C62" t="s">
        <v>98</v>
      </c>
      <c r="D62" t="s">
        <v>99</v>
      </c>
      <c r="E62">
        <v>1</v>
      </c>
      <c r="F62">
        <v>1</v>
      </c>
      <c r="G62" t="s">
        <v>323</v>
      </c>
      <c r="H62" t="s">
        <v>324</v>
      </c>
      <c r="I62" t="s">
        <v>150</v>
      </c>
      <c r="J62" t="s">
        <v>103</v>
      </c>
      <c r="K62" t="s">
        <v>104</v>
      </c>
      <c r="L62" t="s">
        <v>325</v>
      </c>
      <c r="M62">
        <v>10</v>
      </c>
      <c r="N62">
        <v>3.3</v>
      </c>
      <c r="O62">
        <v>10900</v>
      </c>
      <c r="P62">
        <v>3</v>
      </c>
      <c r="Q62" t="s">
        <v>274</v>
      </c>
      <c r="R62" t="s">
        <v>275</v>
      </c>
      <c r="S62">
        <v>2.63E-2</v>
      </c>
      <c r="T62">
        <v>3080</v>
      </c>
      <c r="U62">
        <v>10</v>
      </c>
      <c r="V62">
        <v>0</v>
      </c>
      <c r="W62">
        <v>1451</v>
      </c>
      <c r="X62" t="s">
        <v>326</v>
      </c>
      <c r="Y62" t="s">
        <v>326</v>
      </c>
      <c r="Z62" t="s">
        <v>327</v>
      </c>
      <c r="AA62">
        <v>54</v>
      </c>
      <c r="AB62">
        <v>2801</v>
      </c>
      <c r="AC62">
        <v>4481.6000000000004</v>
      </c>
      <c r="AD62">
        <v>0</v>
      </c>
      <c r="AE62">
        <v>0</v>
      </c>
      <c r="AF62">
        <v>54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2801</v>
      </c>
      <c r="AN62">
        <v>4481.6000000000004</v>
      </c>
      <c r="AO62">
        <v>0</v>
      </c>
      <c r="AP62">
        <v>0</v>
      </c>
      <c r="AQ62">
        <v>54</v>
      </c>
      <c r="AR62">
        <v>0</v>
      </c>
      <c r="AS62">
        <v>0</v>
      </c>
      <c r="AT62">
        <v>0</v>
      </c>
      <c r="AU62" t="s">
        <v>278</v>
      </c>
      <c r="AV62" t="s">
        <v>328</v>
      </c>
      <c r="AW62">
        <v>35969301.960000001</v>
      </c>
      <c r="AX62">
        <v>35969301.960000001</v>
      </c>
      <c r="AY62" t="s">
        <v>112</v>
      </c>
      <c r="AZ62">
        <v>0</v>
      </c>
      <c r="BA62">
        <v>0</v>
      </c>
      <c r="BB62">
        <v>35969068.33049307</v>
      </c>
      <c r="BC62">
        <v>35969301.960000001</v>
      </c>
      <c r="BD62">
        <v>35969068.33049307</v>
      </c>
      <c r="BE62">
        <v>35969068.33049307</v>
      </c>
      <c r="BF62">
        <v>35969301.960000001</v>
      </c>
      <c r="BG62">
        <v>392062844802.37451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329</v>
      </c>
      <c r="CO62">
        <v>218</v>
      </c>
      <c r="CP62" t="s">
        <v>257</v>
      </c>
      <c r="CQ62">
        <v>1</v>
      </c>
      <c r="CR62">
        <v>0</v>
      </c>
      <c r="CS62">
        <v>0</v>
      </c>
      <c r="CT62" t="s">
        <v>113</v>
      </c>
      <c r="CY62"/>
    </row>
    <row r="63" spans="1:103" hidden="1" x14ac:dyDescent="0.25">
      <c r="A63" s="2">
        <v>46082</v>
      </c>
      <c r="B63" t="s">
        <v>98</v>
      </c>
      <c r="C63" t="s">
        <v>98</v>
      </c>
      <c r="D63" t="s">
        <v>99</v>
      </c>
      <c r="E63">
        <v>1</v>
      </c>
      <c r="F63">
        <v>2</v>
      </c>
      <c r="G63" t="s">
        <v>323</v>
      </c>
      <c r="H63" t="s">
        <v>324</v>
      </c>
      <c r="I63" t="s">
        <v>150</v>
      </c>
      <c r="J63" t="s">
        <v>103</v>
      </c>
      <c r="K63" t="s">
        <v>104</v>
      </c>
      <c r="L63" t="s">
        <v>325</v>
      </c>
      <c r="M63">
        <v>10</v>
      </c>
      <c r="N63">
        <v>3.3</v>
      </c>
      <c r="O63">
        <v>10900</v>
      </c>
      <c r="P63">
        <v>3</v>
      </c>
      <c r="Q63" t="s">
        <v>281</v>
      </c>
      <c r="R63" t="s">
        <v>275</v>
      </c>
      <c r="S63">
        <v>2.63E-2</v>
      </c>
      <c r="T63">
        <v>3080</v>
      </c>
      <c r="U63">
        <v>10</v>
      </c>
      <c r="V63">
        <v>0</v>
      </c>
      <c r="W63">
        <v>1452</v>
      </c>
      <c r="X63" t="s">
        <v>326</v>
      </c>
      <c r="Y63" t="s">
        <v>326</v>
      </c>
      <c r="Z63" t="s">
        <v>327</v>
      </c>
      <c r="AA63">
        <v>54</v>
      </c>
      <c r="AB63">
        <v>2801</v>
      </c>
      <c r="AC63">
        <v>4481.6000000000004</v>
      </c>
      <c r="AD63">
        <v>0</v>
      </c>
      <c r="AE63">
        <v>0</v>
      </c>
      <c r="AF63">
        <v>54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326</v>
      </c>
      <c r="AM63">
        <v>2801</v>
      </c>
      <c r="AN63">
        <v>4481.6000000000004</v>
      </c>
      <c r="AO63">
        <v>0</v>
      </c>
      <c r="AP63">
        <v>0</v>
      </c>
      <c r="AQ63">
        <v>54</v>
      </c>
      <c r="AR63">
        <v>0</v>
      </c>
      <c r="AS63">
        <v>0</v>
      </c>
      <c r="AT63">
        <v>0</v>
      </c>
      <c r="AU63" t="s">
        <v>282</v>
      </c>
      <c r="AV63" t="s">
        <v>328</v>
      </c>
      <c r="AW63">
        <v>35969301.960000001</v>
      </c>
      <c r="AX63">
        <v>35969301.960000001</v>
      </c>
      <c r="AY63" t="s">
        <v>112</v>
      </c>
      <c r="AZ63">
        <v>0</v>
      </c>
      <c r="BA63">
        <v>0</v>
      </c>
      <c r="BB63">
        <v>35969142.707472473</v>
      </c>
      <c r="BC63">
        <v>35969301.960000001</v>
      </c>
      <c r="BD63">
        <v>35969142.707472473</v>
      </c>
      <c r="BE63">
        <v>35969142.707472473</v>
      </c>
      <c r="BF63">
        <v>35969301.960000001</v>
      </c>
      <c r="BG63">
        <v>392063655511.44989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329</v>
      </c>
      <c r="CO63">
        <v>218</v>
      </c>
      <c r="CP63" t="s">
        <v>257</v>
      </c>
      <c r="CQ63">
        <v>1</v>
      </c>
      <c r="CR63">
        <v>0</v>
      </c>
      <c r="CS63">
        <v>0</v>
      </c>
      <c r="CT63" t="s">
        <v>113</v>
      </c>
      <c r="CY63"/>
    </row>
    <row r="64" spans="1:103" x14ac:dyDescent="0.25">
      <c r="A64" s="2">
        <v>46082</v>
      </c>
      <c r="B64" t="s">
        <v>198</v>
      </c>
      <c r="C64" t="s">
        <v>98</v>
      </c>
      <c r="D64" t="s">
        <v>112</v>
      </c>
      <c r="E64">
        <v>1</v>
      </c>
      <c r="F64">
        <v>1</v>
      </c>
      <c r="G64" t="s">
        <v>323</v>
      </c>
      <c r="H64" t="s">
        <v>324</v>
      </c>
      <c r="I64" t="s">
        <v>150</v>
      </c>
      <c r="J64" t="s">
        <v>103</v>
      </c>
      <c r="K64" t="s">
        <v>104</v>
      </c>
      <c r="L64" t="s">
        <v>325</v>
      </c>
      <c r="M64">
        <v>10</v>
      </c>
      <c r="N64">
        <v>3.3</v>
      </c>
      <c r="O64">
        <v>10900</v>
      </c>
      <c r="P64">
        <v>3</v>
      </c>
      <c r="Q64" t="s">
        <v>274</v>
      </c>
      <c r="R64" t="s">
        <v>275</v>
      </c>
      <c r="S64">
        <v>2.63E-2</v>
      </c>
      <c r="T64">
        <v>1980</v>
      </c>
      <c r="U64">
        <v>10</v>
      </c>
      <c r="V64">
        <v>0</v>
      </c>
      <c r="W64">
        <v>3478</v>
      </c>
      <c r="X64" t="s">
        <v>326</v>
      </c>
      <c r="Y64" t="s">
        <v>330</v>
      </c>
      <c r="Z64" t="s">
        <v>331</v>
      </c>
      <c r="AA64">
        <v>5769</v>
      </c>
      <c r="AB64">
        <v>11677</v>
      </c>
      <c r="AC64">
        <v>11677</v>
      </c>
      <c r="AD64">
        <v>0</v>
      </c>
      <c r="AE64">
        <v>180</v>
      </c>
      <c r="AF64">
        <v>5589</v>
      </c>
      <c r="AG64">
        <v>0</v>
      </c>
      <c r="AH64">
        <v>5759</v>
      </c>
      <c r="AI64">
        <v>0</v>
      </c>
      <c r="AJ64">
        <v>0</v>
      </c>
      <c r="AK64">
        <v>0</v>
      </c>
      <c r="AM64">
        <v>11677</v>
      </c>
      <c r="AN64">
        <v>11677</v>
      </c>
      <c r="AO64">
        <v>0</v>
      </c>
      <c r="AP64">
        <v>180</v>
      </c>
      <c r="AQ64">
        <v>5589</v>
      </c>
      <c r="AR64">
        <v>0</v>
      </c>
      <c r="AS64">
        <v>5759</v>
      </c>
      <c r="AT64">
        <v>0</v>
      </c>
      <c r="AU64" t="s">
        <v>278</v>
      </c>
      <c r="AV64" t="s">
        <v>328</v>
      </c>
      <c r="AW64">
        <v>35969301.960000001</v>
      </c>
      <c r="AX64">
        <v>35969301.960000001</v>
      </c>
      <c r="AY64" t="s">
        <v>112</v>
      </c>
      <c r="AZ64">
        <v>11530</v>
      </c>
      <c r="BA64">
        <v>1.0577981651376149</v>
      </c>
      <c r="BB64">
        <v>35968741.813177504</v>
      </c>
      <c r="BC64">
        <v>35969301.960000001</v>
      </c>
      <c r="BD64">
        <v>35968741.813177504</v>
      </c>
      <c r="BE64">
        <v>35968740.755379327</v>
      </c>
      <c r="BF64">
        <v>35969300.902201839</v>
      </c>
      <c r="BG64">
        <v>392059285763.6347</v>
      </c>
      <c r="BH64">
        <v>11530</v>
      </c>
      <c r="BI64">
        <v>1.0577981651376149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2.9408359559325031E-8</v>
      </c>
      <c r="BV64">
        <v>2.9408359559325031E-8</v>
      </c>
      <c r="BW64">
        <v>1.0577981651376149</v>
      </c>
      <c r="BX64">
        <v>1.0577981651376149</v>
      </c>
      <c r="BY64">
        <v>11677</v>
      </c>
      <c r="BZ64">
        <v>0</v>
      </c>
      <c r="CA64">
        <v>0</v>
      </c>
      <c r="CB64">
        <v>0</v>
      </c>
      <c r="CC64">
        <v>0</v>
      </c>
      <c r="CD64">
        <v>11528</v>
      </c>
      <c r="CE64">
        <v>0</v>
      </c>
      <c r="CF64">
        <v>2</v>
      </c>
      <c r="CG64">
        <v>0</v>
      </c>
      <c r="CH64">
        <v>0</v>
      </c>
      <c r="CI64">
        <v>0</v>
      </c>
      <c r="CJ64">
        <v>0</v>
      </c>
      <c r="CK64">
        <v>52.88073394495413</v>
      </c>
      <c r="CL64">
        <v>0</v>
      </c>
      <c r="CM64">
        <v>9.1743119266055051E-3</v>
      </c>
      <c r="CN64" t="s">
        <v>329</v>
      </c>
      <c r="CO64">
        <v>218</v>
      </c>
      <c r="CP64" t="s">
        <v>257</v>
      </c>
      <c r="CQ64">
        <v>1</v>
      </c>
      <c r="CR64">
        <v>11530</v>
      </c>
      <c r="CS64">
        <v>52.889908256880737</v>
      </c>
      <c r="CT64" t="s">
        <v>113</v>
      </c>
      <c r="CU64">
        <v>329.90180035650621</v>
      </c>
      <c r="CV64" s="8">
        <f t="shared" ref="CV64:CV65" si="24">CJ64/SUBTOTAL(9,$CJ$20:$CJ$73)</f>
        <v>0</v>
      </c>
      <c r="CW64">
        <f t="shared" ref="CW64:CW65" si="25">CU64*CV64</f>
        <v>0</v>
      </c>
      <c r="CX64">
        <f t="shared" ref="CX64:CX65" si="26">CJ64-CW64</f>
        <v>0</v>
      </c>
      <c r="CY64" s="11">
        <f t="shared" ref="CY64:CY65" si="27">IF(CN64="",O64*CX64,CO64*CX64/CQ64)</f>
        <v>0</v>
      </c>
    </row>
    <row r="65" spans="1:103" x14ac:dyDescent="0.25">
      <c r="A65" s="2">
        <v>46082</v>
      </c>
      <c r="B65" t="s">
        <v>198</v>
      </c>
      <c r="C65" t="s">
        <v>98</v>
      </c>
      <c r="D65" t="s">
        <v>112</v>
      </c>
      <c r="E65">
        <v>1</v>
      </c>
      <c r="F65">
        <v>2</v>
      </c>
      <c r="G65" t="s">
        <v>323</v>
      </c>
      <c r="H65" t="s">
        <v>324</v>
      </c>
      <c r="I65" t="s">
        <v>150</v>
      </c>
      <c r="J65" t="s">
        <v>103</v>
      </c>
      <c r="K65" t="s">
        <v>104</v>
      </c>
      <c r="L65" t="s">
        <v>325</v>
      </c>
      <c r="M65">
        <v>10</v>
      </c>
      <c r="N65">
        <v>3.3</v>
      </c>
      <c r="O65">
        <v>10900</v>
      </c>
      <c r="P65">
        <v>3</v>
      </c>
      <c r="Q65" t="s">
        <v>281</v>
      </c>
      <c r="R65" t="s">
        <v>275</v>
      </c>
      <c r="S65">
        <v>2.63E-2</v>
      </c>
      <c r="T65">
        <v>1980</v>
      </c>
      <c r="U65">
        <v>10</v>
      </c>
      <c r="V65">
        <v>0</v>
      </c>
      <c r="W65">
        <v>3479</v>
      </c>
      <c r="X65" t="s">
        <v>326</v>
      </c>
      <c r="Y65" t="s">
        <v>330</v>
      </c>
      <c r="Z65" t="s">
        <v>331</v>
      </c>
      <c r="AA65">
        <v>5769</v>
      </c>
      <c r="AB65">
        <v>11677</v>
      </c>
      <c r="AC65">
        <v>11677</v>
      </c>
      <c r="AD65">
        <v>0</v>
      </c>
      <c r="AE65">
        <v>180</v>
      </c>
      <c r="AF65">
        <v>5589</v>
      </c>
      <c r="AG65">
        <v>0</v>
      </c>
      <c r="AH65">
        <v>5759</v>
      </c>
      <c r="AI65">
        <v>0</v>
      </c>
      <c r="AJ65">
        <v>0</v>
      </c>
      <c r="AK65">
        <v>0</v>
      </c>
      <c r="AL65" t="s">
        <v>330</v>
      </c>
      <c r="AM65">
        <v>11677</v>
      </c>
      <c r="AN65">
        <v>11677</v>
      </c>
      <c r="AO65">
        <v>0</v>
      </c>
      <c r="AP65">
        <v>180</v>
      </c>
      <c r="AQ65">
        <v>5589</v>
      </c>
      <c r="AR65">
        <v>0</v>
      </c>
      <c r="AS65">
        <v>5759</v>
      </c>
      <c r="AT65">
        <v>0</v>
      </c>
      <c r="AU65" t="s">
        <v>282</v>
      </c>
      <c r="AV65" t="s">
        <v>328</v>
      </c>
      <c r="AW65">
        <v>35969301.960000001</v>
      </c>
      <c r="AX65">
        <v>35969301.960000001</v>
      </c>
      <c r="AY65" t="s">
        <v>112</v>
      </c>
      <c r="AZ65">
        <v>0</v>
      </c>
      <c r="BA65">
        <v>0</v>
      </c>
      <c r="BB65">
        <v>35968930.071821377</v>
      </c>
      <c r="BC65">
        <v>35969300.902201839</v>
      </c>
      <c r="BD65">
        <v>35968930.071821377</v>
      </c>
      <c r="BE65">
        <v>35968930.071821377</v>
      </c>
      <c r="BF65">
        <v>35969300.902201839</v>
      </c>
      <c r="BG65">
        <v>392061337782.85303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329</v>
      </c>
      <c r="CO65">
        <v>218</v>
      </c>
      <c r="CP65" t="s">
        <v>257</v>
      </c>
      <c r="CQ65">
        <v>1</v>
      </c>
      <c r="CR65">
        <v>0</v>
      </c>
      <c r="CS65">
        <v>0</v>
      </c>
      <c r="CT65" t="s">
        <v>113</v>
      </c>
      <c r="CU65">
        <v>329.90180035650621</v>
      </c>
      <c r="CV65" s="8">
        <f t="shared" si="24"/>
        <v>0</v>
      </c>
      <c r="CW65">
        <f t="shared" si="25"/>
        <v>0</v>
      </c>
      <c r="CX65">
        <f t="shared" si="26"/>
        <v>0</v>
      </c>
      <c r="CY65" s="11">
        <f t="shared" si="27"/>
        <v>0</v>
      </c>
    </row>
    <row r="66" spans="1:103" hidden="1" x14ac:dyDescent="0.25">
      <c r="A66" s="2">
        <v>46082</v>
      </c>
      <c r="B66" t="s">
        <v>98</v>
      </c>
      <c r="C66" t="s">
        <v>98</v>
      </c>
      <c r="D66" t="s">
        <v>99</v>
      </c>
      <c r="E66">
        <v>1</v>
      </c>
      <c r="F66">
        <v>1</v>
      </c>
      <c r="G66" t="s">
        <v>332</v>
      </c>
      <c r="H66" t="s">
        <v>333</v>
      </c>
      <c r="I66" t="s">
        <v>150</v>
      </c>
      <c r="J66" t="s">
        <v>103</v>
      </c>
      <c r="K66" t="s">
        <v>104</v>
      </c>
      <c r="L66" t="s">
        <v>334</v>
      </c>
      <c r="M66">
        <v>10</v>
      </c>
      <c r="N66">
        <v>3.3</v>
      </c>
      <c r="O66">
        <v>10900</v>
      </c>
      <c r="P66">
        <v>3</v>
      </c>
      <c r="Q66" t="s">
        <v>274</v>
      </c>
      <c r="R66" t="s">
        <v>275</v>
      </c>
      <c r="S66">
        <v>4.2599999999999999E-2</v>
      </c>
      <c r="T66">
        <v>9280</v>
      </c>
      <c r="U66">
        <v>10</v>
      </c>
      <c r="V66">
        <v>0</v>
      </c>
      <c r="W66">
        <v>1453</v>
      </c>
      <c r="X66" t="s">
        <v>335</v>
      </c>
      <c r="Y66" t="s">
        <v>335</v>
      </c>
      <c r="Z66" t="s">
        <v>336</v>
      </c>
      <c r="AA66">
        <v>381</v>
      </c>
      <c r="AB66">
        <v>14234</v>
      </c>
      <c r="AC66">
        <v>22774.400000000001</v>
      </c>
      <c r="AD66">
        <v>0</v>
      </c>
      <c r="AE66">
        <v>0</v>
      </c>
      <c r="AF66">
        <v>381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14234</v>
      </c>
      <c r="AN66">
        <v>22774.400000000001</v>
      </c>
      <c r="AO66">
        <v>0</v>
      </c>
      <c r="AP66">
        <v>0</v>
      </c>
      <c r="AQ66">
        <v>381</v>
      </c>
      <c r="AR66">
        <v>0</v>
      </c>
      <c r="AS66">
        <v>0</v>
      </c>
      <c r="AT66">
        <v>0</v>
      </c>
      <c r="AU66" t="s">
        <v>278</v>
      </c>
      <c r="AV66" t="s">
        <v>337</v>
      </c>
      <c r="AW66">
        <v>35969301.960000001</v>
      </c>
      <c r="AX66">
        <v>35969301.960000001</v>
      </c>
      <c r="AY66" t="s">
        <v>112</v>
      </c>
      <c r="AZ66">
        <v>0</v>
      </c>
      <c r="BA66">
        <v>0</v>
      </c>
      <c r="BB66">
        <v>35969068.33049307</v>
      </c>
      <c r="BC66">
        <v>35969301.960000001</v>
      </c>
      <c r="BD66">
        <v>35969068.33049307</v>
      </c>
      <c r="BE66">
        <v>35969068.33049307</v>
      </c>
      <c r="BF66">
        <v>35969301.960000001</v>
      </c>
      <c r="BG66">
        <v>392062844802.37451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338</v>
      </c>
      <c r="CO66">
        <v>200</v>
      </c>
      <c r="CP66" t="s">
        <v>263</v>
      </c>
      <c r="CQ66">
        <v>1</v>
      </c>
      <c r="CR66">
        <v>0</v>
      </c>
      <c r="CS66">
        <v>0</v>
      </c>
      <c r="CT66" t="s">
        <v>113</v>
      </c>
      <c r="CY66"/>
    </row>
    <row r="67" spans="1:103" hidden="1" x14ac:dyDescent="0.25">
      <c r="A67" s="2">
        <v>46082</v>
      </c>
      <c r="B67" t="s">
        <v>98</v>
      </c>
      <c r="C67" t="s">
        <v>98</v>
      </c>
      <c r="D67" t="s">
        <v>99</v>
      </c>
      <c r="E67">
        <v>1</v>
      </c>
      <c r="F67">
        <v>2</v>
      </c>
      <c r="G67" t="s">
        <v>332</v>
      </c>
      <c r="H67" t="s">
        <v>333</v>
      </c>
      <c r="I67" t="s">
        <v>150</v>
      </c>
      <c r="J67" t="s">
        <v>103</v>
      </c>
      <c r="K67" t="s">
        <v>104</v>
      </c>
      <c r="L67" t="s">
        <v>334</v>
      </c>
      <c r="M67">
        <v>10</v>
      </c>
      <c r="N67">
        <v>3.3</v>
      </c>
      <c r="O67">
        <v>10900</v>
      </c>
      <c r="P67">
        <v>3</v>
      </c>
      <c r="Q67" t="s">
        <v>281</v>
      </c>
      <c r="R67" t="s">
        <v>275</v>
      </c>
      <c r="S67">
        <v>4.2599999999999999E-2</v>
      </c>
      <c r="T67">
        <v>9280</v>
      </c>
      <c r="U67">
        <v>10</v>
      </c>
      <c r="V67">
        <v>0</v>
      </c>
      <c r="W67">
        <v>1454</v>
      </c>
      <c r="X67" t="s">
        <v>335</v>
      </c>
      <c r="Y67" t="s">
        <v>335</v>
      </c>
      <c r="Z67" t="s">
        <v>336</v>
      </c>
      <c r="AA67">
        <v>381</v>
      </c>
      <c r="AB67">
        <v>14234</v>
      </c>
      <c r="AC67">
        <v>22774.400000000001</v>
      </c>
      <c r="AD67">
        <v>0</v>
      </c>
      <c r="AE67">
        <v>0</v>
      </c>
      <c r="AF67">
        <v>381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335</v>
      </c>
      <c r="AM67">
        <v>14234</v>
      </c>
      <c r="AN67">
        <v>22774.400000000001</v>
      </c>
      <c r="AO67">
        <v>0</v>
      </c>
      <c r="AP67">
        <v>0</v>
      </c>
      <c r="AQ67">
        <v>381</v>
      </c>
      <c r="AR67">
        <v>0</v>
      </c>
      <c r="AS67">
        <v>0</v>
      </c>
      <c r="AT67">
        <v>0</v>
      </c>
      <c r="AU67" t="s">
        <v>282</v>
      </c>
      <c r="AV67" t="s">
        <v>337</v>
      </c>
      <c r="AW67">
        <v>35969301.960000001</v>
      </c>
      <c r="AX67">
        <v>35969301.960000001</v>
      </c>
      <c r="AY67" t="s">
        <v>112</v>
      </c>
      <c r="AZ67">
        <v>0</v>
      </c>
      <c r="BA67">
        <v>0</v>
      </c>
      <c r="BB67">
        <v>35969142.707472473</v>
      </c>
      <c r="BC67">
        <v>35969301.960000001</v>
      </c>
      <c r="BD67">
        <v>35969142.707472473</v>
      </c>
      <c r="BE67">
        <v>35969142.707472473</v>
      </c>
      <c r="BF67">
        <v>35969301.960000001</v>
      </c>
      <c r="BG67">
        <v>392063655511.44989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338</v>
      </c>
      <c r="CO67">
        <v>200</v>
      </c>
      <c r="CP67" t="s">
        <v>263</v>
      </c>
      <c r="CQ67">
        <v>1</v>
      </c>
      <c r="CR67">
        <v>0</v>
      </c>
      <c r="CS67">
        <v>0</v>
      </c>
      <c r="CT67" t="s">
        <v>113</v>
      </c>
      <c r="CY67"/>
    </row>
    <row r="68" spans="1:103" x14ac:dyDescent="0.25">
      <c r="A68" s="2">
        <v>46082</v>
      </c>
      <c r="B68" t="s">
        <v>198</v>
      </c>
      <c r="C68" t="s">
        <v>98</v>
      </c>
      <c r="D68" t="s">
        <v>112</v>
      </c>
      <c r="E68">
        <v>1</v>
      </c>
      <c r="F68">
        <v>1</v>
      </c>
      <c r="G68" t="s">
        <v>332</v>
      </c>
      <c r="H68" t="s">
        <v>333</v>
      </c>
      <c r="I68" t="s">
        <v>150</v>
      </c>
      <c r="J68" t="s">
        <v>103</v>
      </c>
      <c r="K68" t="s">
        <v>104</v>
      </c>
      <c r="L68" t="s">
        <v>334</v>
      </c>
      <c r="M68">
        <v>10</v>
      </c>
      <c r="N68">
        <v>3.3</v>
      </c>
      <c r="O68">
        <v>10900</v>
      </c>
      <c r="P68">
        <v>3</v>
      </c>
      <c r="Q68" t="s">
        <v>274</v>
      </c>
      <c r="R68" t="s">
        <v>275</v>
      </c>
      <c r="S68">
        <v>4.2599999999999999E-2</v>
      </c>
      <c r="T68">
        <v>5790</v>
      </c>
      <c r="U68">
        <v>10</v>
      </c>
      <c r="V68">
        <v>0</v>
      </c>
      <c r="W68">
        <v>3480</v>
      </c>
      <c r="X68" t="s">
        <v>335</v>
      </c>
      <c r="Y68" t="s">
        <v>339</v>
      </c>
      <c r="Z68" t="s">
        <v>340</v>
      </c>
      <c r="AA68">
        <v>25046</v>
      </c>
      <c r="AB68">
        <v>33384</v>
      </c>
      <c r="AC68">
        <v>33384</v>
      </c>
      <c r="AD68">
        <v>0</v>
      </c>
      <c r="AE68">
        <v>550</v>
      </c>
      <c r="AF68">
        <v>24496</v>
      </c>
      <c r="AG68">
        <v>0</v>
      </c>
      <c r="AH68">
        <v>25141</v>
      </c>
      <c r="AI68">
        <v>0</v>
      </c>
      <c r="AJ68">
        <v>0</v>
      </c>
      <c r="AK68">
        <v>0</v>
      </c>
      <c r="AM68">
        <v>33384</v>
      </c>
      <c r="AN68">
        <v>33384</v>
      </c>
      <c r="AO68">
        <v>0</v>
      </c>
      <c r="AP68">
        <v>550</v>
      </c>
      <c r="AQ68">
        <v>24496</v>
      </c>
      <c r="AR68">
        <v>0</v>
      </c>
      <c r="AS68">
        <v>25141</v>
      </c>
      <c r="AT68">
        <v>0</v>
      </c>
      <c r="AU68" t="s">
        <v>278</v>
      </c>
      <c r="AV68" t="s">
        <v>337</v>
      </c>
      <c r="AW68">
        <v>35969301.960000001</v>
      </c>
      <c r="AX68">
        <v>35969301.960000001</v>
      </c>
      <c r="AY68" t="s">
        <v>112</v>
      </c>
      <c r="AZ68">
        <v>50190</v>
      </c>
      <c r="BA68">
        <v>4.6045871559633031</v>
      </c>
      <c r="BB68">
        <v>35968740.755379327</v>
      </c>
      <c r="BC68">
        <v>35969301.960000001</v>
      </c>
      <c r="BD68">
        <v>35968740.755379327</v>
      </c>
      <c r="BE68">
        <v>35968736.150792181</v>
      </c>
      <c r="BF68">
        <v>35969297.355412848</v>
      </c>
      <c r="BG68">
        <v>392059274233.63483</v>
      </c>
      <c r="BH68">
        <v>50190</v>
      </c>
      <c r="BI68">
        <v>4.6045871559633031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1.2801435960819809E-7</v>
      </c>
      <c r="BV68">
        <v>1.2801435960819809E-7</v>
      </c>
      <c r="BW68">
        <v>4.6045871559633031</v>
      </c>
      <c r="BX68">
        <v>4.6045871559633031</v>
      </c>
      <c r="BY68">
        <v>33384</v>
      </c>
      <c r="BZ68">
        <v>0</v>
      </c>
      <c r="CA68">
        <v>0</v>
      </c>
      <c r="CB68">
        <v>0</v>
      </c>
      <c r="CC68">
        <v>16803</v>
      </c>
      <c r="CD68">
        <v>33384</v>
      </c>
      <c r="CE68">
        <v>0</v>
      </c>
      <c r="CF68">
        <v>3</v>
      </c>
      <c r="CG68">
        <v>0</v>
      </c>
      <c r="CH68">
        <v>0</v>
      </c>
      <c r="CI68">
        <v>0</v>
      </c>
      <c r="CJ68">
        <v>84.015000000000001</v>
      </c>
      <c r="CK68">
        <v>166.92</v>
      </c>
      <c r="CL68">
        <v>0</v>
      </c>
      <c r="CM68">
        <v>1.4999999999999999E-2</v>
      </c>
      <c r="CN68" t="s">
        <v>338</v>
      </c>
      <c r="CO68">
        <v>200</v>
      </c>
      <c r="CP68" t="s">
        <v>263</v>
      </c>
      <c r="CQ68">
        <v>1</v>
      </c>
      <c r="CR68">
        <v>50190</v>
      </c>
      <c r="CS68">
        <v>250.95</v>
      </c>
      <c r="CT68" t="s">
        <v>113</v>
      </c>
      <c r="CU68">
        <v>329.90180035650621</v>
      </c>
      <c r="CV68" s="8">
        <f t="shared" ref="CV68:CV69" si="28">CJ68/SUBTOTAL(9,$CJ$20:$CJ$73)</f>
        <v>0.20790214283107561</v>
      </c>
      <c r="CW68">
        <f t="shared" ref="CW68:CW69" si="29">CU68*CV68</f>
        <v>68.587291217947339</v>
      </c>
      <c r="CX68">
        <f t="shared" ref="CX68:CX69" si="30">CJ68-CW68</f>
        <v>15.427708782052662</v>
      </c>
      <c r="CY68" s="11">
        <f t="shared" ref="CY68:CY69" si="31">IF(CN68="",O68*CX68,CO68*CX68/CQ68)</f>
        <v>3085.5417564105323</v>
      </c>
    </row>
    <row r="69" spans="1:103" x14ac:dyDescent="0.25">
      <c r="A69" s="2">
        <v>46082</v>
      </c>
      <c r="B69" t="s">
        <v>198</v>
      </c>
      <c r="C69" t="s">
        <v>98</v>
      </c>
      <c r="D69" t="s">
        <v>112</v>
      </c>
      <c r="E69">
        <v>1</v>
      </c>
      <c r="F69">
        <v>2</v>
      </c>
      <c r="G69" t="s">
        <v>332</v>
      </c>
      <c r="H69" t="s">
        <v>333</v>
      </c>
      <c r="I69" t="s">
        <v>150</v>
      </c>
      <c r="J69" t="s">
        <v>103</v>
      </c>
      <c r="K69" t="s">
        <v>104</v>
      </c>
      <c r="L69" t="s">
        <v>334</v>
      </c>
      <c r="M69">
        <v>10</v>
      </c>
      <c r="N69">
        <v>3.3</v>
      </c>
      <c r="O69">
        <v>10900</v>
      </c>
      <c r="P69">
        <v>3</v>
      </c>
      <c r="Q69" t="s">
        <v>281</v>
      </c>
      <c r="R69" t="s">
        <v>275</v>
      </c>
      <c r="S69">
        <v>4.2599999999999999E-2</v>
      </c>
      <c r="T69">
        <v>5790</v>
      </c>
      <c r="U69">
        <v>10</v>
      </c>
      <c r="V69">
        <v>0</v>
      </c>
      <c r="W69">
        <v>3481</v>
      </c>
      <c r="X69" t="s">
        <v>335</v>
      </c>
      <c r="Y69" t="s">
        <v>339</v>
      </c>
      <c r="Z69" t="s">
        <v>340</v>
      </c>
      <c r="AA69">
        <v>25046</v>
      </c>
      <c r="AB69">
        <v>33384</v>
      </c>
      <c r="AC69">
        <v>33384</v>
      </c>
      <c r="AD69">
        <v>0</v>
      </c>
      <c r="AE69">
        <v>550</v>
      </c>
      <c r="AF69">
        <v>24496</v>
      </c>
      <c r="AG69">
        <v>0</v>
      </c>
      <c r="AH69">
        <v>25141</v>
      </c>
      <c r="AI69">
        <v>0</v>
      </c>
      <c r="AJ69">
        <v>0</v>
      </c>
      <c r="AK69">
        <v>0</v>
      </c>
      <c r="AL69" t="s">
        <v>339</v>
      </c>
      <c r="AM69">
        <v>33384</v>
      </c>
      <c r="AN69">
        <v>33384</v>
      </c>
      <c r="AO69">
        <v>0</v>
      </c>
      <c r="AP69">
        <v>550</v>
      </c>
      <c r="AQ69">
        <v>24496</v>
      </c>
      <c r="AR69">
        <v>0</v>
      </c>
      <c r="AS69">
        <v>25141</v>
      </c>
      <c r="AT69">
        <v>0</v>
      </c>
      <c r="AU69" t="s">
        <v>282</v>
      </c>
      <c r="AV69" t="s">
        <v>337</v>
      </c>
      <c r="AW69">
        <v>35969301.960000001</v>
      </c>
      <c r="AX69">
        <v>35969301.960000001</v>
      </c>
      <c r="AY69" t="s">
        <v>112</v>
      </c>
      <c r="AZ69">
        <v>0</v>
      </c>
      <c r="BA69">
        <v>0</v>
      </c>
      <c r="BB69">
        <v>35968930.071821377</v>
      </c>
      <c r="BC69">
        <v>35969297.355412848</v>
      </c>
      <c r="BD69">
        <v>35968930.071821377</v>
      </c>
      <c r="BE69">
        <v>35968930.071821377</v>
      </c>
      <c r="BF69">
        <v>35969297.355412848</v>
      </c>
      <c r="BG69">
        <v>392061337782.85303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338</v>
      </c>
      <c r="CO69">
        <v>200</v>
      </c>
      <c r="CP69" t="s">
        <v>263</v>
      </c>
      <c r="CQ69">
        <v>1</v>
      </c>
      <c r="CR69">
        <v>0</v>
      </c>
      <c r="CS69">
        <v>0</v>
      </c>
      <c r="CT69" t="s">
        <v>113</v>
      </c>
      <c r="CU69">
        <v>329.90180035650621</v>
      </c>
      <c r="CV69" s="8">
        <f t="shared" si="28"/>
        <v>0</v>
      </c>
      <c r="CW69">
        <f t="shared" si="29"/>
        <v>0</v>
      </c>
      <c r="CX69">
        <f t="shared" si="30"/>
        <v>0</v>
      </c>
      <c r="CY69" s="11">
        <f t="shared" si="31"/>
        <v>0</v>
      </c>
    </row>
    <row r="70" spans="1:103" hidden="1" x14ac:dyDescent="0.25">
      <c r="A70" s="2">
        <v>46082</v>
      </c>
      <c r="B70" t="s">
        <v>98</v>
      </c>
      <c r="C70" t="s">
        <v>98</v>
      </c>
      <c r="D70" t="s">
        <v>99</v>
      </c>
      <c r="E70">
        <v>1</v>
      </c>
      <c r="F70">
        <v>1</v>
      </c>
      <c r="G70" t="s">
        <v>341</v>
      </c>
      <c r="H70" t="s">
        <v>342</v>
      </c>
      <c r="I70" t="s">
        <v>150</v>
      </c>
      <c r="J70" t="s">
        <v>103</v>
      </c>
      <c r="K70" t="s">
        <v>104</v>
      </c>
      <c r="L70" t="s">
        <v>343</v>
      </c>
      <c r="M70">
        <v>10</v>
      </c>
      <c r="N70">
        <v>3.3</v>
      </c>
      <c r="O70">
        <v>10900</v>
      </c>
      <c r="P70">
        <v>3</v>
      </c>
      <c r="Q70" t="s">
        <v>281</v>
      </c>
      <c r="R70" t="s">
        <v>275</v>
      </c>
      <c r="S70">
        <v>6.6799999999999998E-2</v>
      </c>
      <c r="T70">
        <v>2240</v>
      </c>
      <c r="U70">
        <v>10</v>
      </c>
      <c r="V70">
        <v>0</v>
      </c>
      <c r="W70">
        <v>1455</v>
      </c>
      <c r="X70" t="s">
        <v>344</v>
      </c>
      <c r="Y70" t="s">
        <v>344</v>
      </c>
      <c r="Z70" t="s">
        <v>345</v>
      </c>
      <c r="AA70">
        <v>132</v>
      </c>
      <c r="AB70">
        <v>4511</v>
      </c>
      <c r="AC70">
        <v>7217.6</v>
      </c>
      <c r="AD70">
        <v>0</v>
      </c>
      <c r="AE70">
        <v>0</v>
      </c>
      <c r="AF70">
        <v>132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4511</v>
      </c>
      <c r="AN70">
        <v>7217.6</v>
      </c>
      <c r="AO70">
        <v>0</v>
      </c>
      <c r="AP70">
        <v>0</v>
      </c>
      <c r="AQ70">
        <v>132</v>
      </c>
      <c r="AR70">
        <v>0</v>
      </c>
      <c r="AS70">
        <v>0</v>
      </c>
      <c r="AT70">
        <v>0</v>
      </c>
      <c r="AU70" t="s">
        <v>282</v>
      </c>
      <c r="AV70" t="s">
        <v>346</v>
      </c>
      <c r="AW70">
        <v>35969301.960000001</v>
      </c>
      <c r="AX70">
        <v>35969301.960000001</v>
      </c>
      <c r="AY70" t="s">
        <v>112</v>
      </c>
      <c r="AZ70">
        <v>0</v>
      </c>
      <c r="BA70">
        <v>0</v>
      </c>
      <c r="BB70">
        <v>35969142.707472473</v>
      </c>
      <c r="BC70">
        <v>35969301.960000001</v>
      </c>
      <c r="BD70">
        <v>35969142.707472473</v>
      </c>
      <c r="BE70">
        <v>35969142.707472473</v>
      </c>
      <c r="BF70">
        <v>35969301.960000001</v>
      </c>
      <c r="BG70">
        <v>392063655511.44989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347</v>
      </c>
      <c r="CO70">
        <v>180</v>
      </c>
      <c r="CP70" t="s">
        <v>267</v>
      </c>
      <c r="CQ70">
        <v>1</v>
      </c>
      <c r="CR70">
        <v>0</v>
      </c>
      <c r="CS70">
        <v>0</v>
      </c>
      <c r="CT70" t="s">
        <v>113</v>
      </c>
      <c r="CY70"/>
    </row>
    <row r="71" spans="1:103" hidden="1" x14ac:dyDescent="0.25">
      <c r="A71" s="2">
        <v>46082</v>
      </c>
      <c r="B71" t="s">
        <v>98</v>
      </c>
      <c r="C71" t="s">
        <v>98</v>
      </c>
      <c r="D71" t="s">
        <v>99</v>
      </c>
      <c r="E71">
        <v>1</v>
      </c>
      <c r="F71">
        <v>2</v>
      </c>
      <c r="G71" t="s">
        <v>341</v>
      </c>
      <c r="H71" t="s">
        <v>342</v>
      </c>
      <c r="I71" t="s">
        <v>150</v>
      </c>
      <c r="J71" t="s">
        <v>103</v>
      </c>
      <c r="K71" t="s">
        <v>104</v>
      </c>
      <c r="L71" t="s">
        <v>343</v>
      </c>
      <c r="M71">
        <v>10</v>
      </c>
      <c r="N71">
        <v>3.3</v>
      </c>
      <c r="O71">
        <v>10900</v>
      </c>
      <c r="P71">
        <v>3</v>
      </c>
      <c r="Q71" t="s">
        <v>274</v>
      </c>
      <c r="R71" t="s">
        <v>275</v>
      </c>
      <c r="S71">
        <v>6.6799999999999998E-2</v>
      </c>
      <c r="T71">
        <v>2240</v>
      </c>
      <c r="U71">
        <v>10</v>
      </c>
      <c r="V71">
        <v>0</v>
      </c>
      <c r="W71">
        <v>1456</v>
      </c>
      <c r="X71" t="s">
        <v>344</v>
      </c>
      <c r="Y71" t="s">
        <v>344</v>
      </c>
      <c r="Z71" t="s">
        <v>345</v>
      </c>
      <c r="AA71">
        <v>132</v>
      </c>
      <c r="AB71">
        <v>4511</v>
      </c>
      <c r="AC71">
        <v>7217.6</v>
      </c>
      <c r="AD71">
        <v>0</v>
      </c>
      <c r="AE71">
        <v>0</v>
      </c>
      <c r="AF71">
        <v>132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344</v>
      </c>
      <c r="AM71">
        <v>4511</v>
      </c>
      <c r="AN71">
        <v>7217.6</v>
      </c>
      <c r="AO71">
        <v>0</v>
      </c>
      <c r="AP71">
        <v>0</v>
      </c>
      <c r="AQ71">
        <v>132</v>
      </c>
      <c r="AR71">
        <v>0</v>
      </c>
      <c r="AS71">
        <v>0</v>
      </c>
      <c r="AT71">
        <v>0</v>
      </c>
      <c r="AU71" t="s">
        <v>278</v>
      </c>
      <c r="AV71" t="s">
        <v>346</v>
      </c>
      <c r="AW71">
        <v>35969301.960000001</v>
      </c>
      <c r="AX71">
        <v>35969301.960000001</v>
      </c>
      <c r="AY71" t="s">
        <v>112</v>
      </c>
      <c r="AZ71">
        <v>0</v>
      </c>
      <c r="BA71">
        <v>0</v>
      </c>
      <c r="BB71">
        <v>35969068.33049307</v>
      </c>
      <c r="BC71">
        <v>35969301.960000001</v>
      </c>
      <c r="BD71">
        <v>35969068.33049307</v>
      </c>
      <c r="BE71">
        <v>35969068.33049307</v>
      </c>
      <c r="BF71">
        <v>35969301.960000001</v>
      </c>
      <c r="BG71">
        <v>392062844802.37451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347</v>
      </c>
      <c r="CO71">
        <v>180</v>
      </c>
      <c r="CP71" t="s">
        <v>267</v>
      </c>
      <c r="CQ71">
        <v>1</v>
      </c>
      <c r="CR71">
        <v>0</v>
      </c>
      <c r="CS71">
        <v>0</v>
      </c>
      <c r="CT71" t="s">
        <v>113</v>
      </c>
      <c r="CY71"/>
    </row>
    <row r="72" spans="1:103" x14ac:dyDescent="0.25">
      <c r="A72" s="2">
        <v>46082</v>
      </c>
      <c r="B72" t="s">
        <v>198</v>
      </c>
      <c r="C72" t="s">
        <v>98</v>
      </c>
      <c r="D72" t="s">
        <v>112</v>
      </c>
      <c r="E72">
        <v>1</v>
      </c>
      <c r="F72">
        <v>1</v>
      </c>
      <c r="G72" t="s">
        <v>341</v>
      </c>
      <c r="H72" t="s">
        <v>342</v>
      </c>
      <c r="I72" t="s">
        <v>150</v>
      </c>
      <c r="J72" t="s">
        <v>103</v>
      </c>
      <c r="K72" t="s">
        <v>104</v>
      </c>
      <c r="L72" t="s">
        <v>343</v>
      </c>
      <c r="M72">
        <v>10</v>
      </c>
      <c r="N72">
        <v>3.3</v>
      </c>
      <c r="O72">
        <v>10900</v>
      </c>
      <c r="P72">
        <v>3</v>
      </c>
      <c r="Q72" t="s">
        <v>281</v>
      </c>
      <c r="R72" t="s">
        <v>275</v>
      </c>
      <c r="S72">
        <v>6.6799999999999998E-2</v>
      </c>
      <c r="T72">
        <v>1540</v>
      </c>
      <c r="U72">
        <v>10</v>
      </c>
      <c r="V72">
        <v>0</v>
      </c>
      <c r="W72">
        <v>3482</v>
      </c>
      <c r="X72" t="s">
        <v>344</v>
      </c>
      <c r="Y72" t="s">
        <v>348</v>
      </c>
      <c r="Z72" t="s">
        <v>349</v>
      </c>
      <c r="AA72">
        <v>7592</v>
      </c>
      <c r="AB72">
        <v>14639</v>
      </c>
      <c r="AC72">
        <v>14639</v>
      </c>
      <c r="AD72">
        <v>0</v>
      </c>
      <c r="AE72">
        <v>200</v>
      </c>
      <c r="AF72">
        <v>7392</v>
      </c>
      <c r="AG72">
        <v>0</v>
      </c>
      <c r="AH72">
        <v>7599</v>
      </c>
      <c r="AI72">
        <v>0</v>
      </c>
      <c r="AJ72">
        <v>0</v>
      </c>
      <c r="AK72">
        <v>0</v>
      </c>
      <c r="AM72">
        <v>14639</v>
      </c>
      <c r="AN72">
        <v>14639</v>
      </c>
      <c r="AO72">
        <v>0</v>
      </c>
      <c r="AP72">
        <v>200</v>
      </c>
      <c r="AQ72">
        <v>7392</v>
      </c>
      <c r="AR72">
        <v>0</v>
      </c>
      <c r="AS72">
        <v>7599</v>
      </c>
      <c r="AT72">
        <v>0</v>
      </c>
      <c r="AU72" t="s">
        <v>282</v>
      </c>
      <c r="AV72" t="s">
        <v>346</v>
      </c>
      <c r="AW72">
        <v>35969301.960000001</v>
      </c>
      <c r="AX72">
        <v>35969301.960000001</v>
      </c>
      <c r="AY72" t="s">
        <v>112</v>
      </c>
      <c r="AZ72">
        <v>15200</v>
      </c>
      <c r="BA72">
        <v>1.394495412844037</v>
      </c>
      <c r="BB72">
        <v>35968930.071821377</v>
      </c>
      <c r="BC72">
        <v>35969301.960000001</v>
      </c>
      <c r="BD72">
        <v>35968930.071821377</v>
      </c>
      <c r="BE72">
        <v>35968928.677325957</v>
      </c>
      <c r="BF72">
        <v>35969300.565504588</v>
      </c>
      <c r="BG72">
        <v>392061337782.85303</v>
      </c>
      <c r="BH72">
        <v>15200</v>
      </c>
      <c r="BI72">
        <v>1.394495412844037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3.8769042957653122E-8</v>
      </c>
      <c r="BV72">
        <v>3.8769042957653122E-8</v>
      </c>
      <c r="BW72">
        <v>1.394495412844037</v>
      </c>
      <c r="BX72">
        <v>1.394495412844037</v>
      </c>
      <c r="BY72">
        <v>14639</v>
      </c>
      <c r="BZ72">
        <v>0</v>
      </c>
      <c r="CA72">
        <v>0</v>
      </c>
      <c r="CB72">
        <v>0</v>
      </c>
      <c r="CC72">
        <v>552</v>
      </c>
      <c r="CD72">
        <v>14639</v>
      </c>
      <c r="CE72">
        <v>0</v>
      </c>
      <c r="CF72">
        <v>9</v>
      </c>
      <c r="CG72">
        <v>0</v>
      </c>
      <c r="CH72">
        <v>0</v>
      </c>
      <c r="CI72">
        <v>0</v>
      </c>
      <c r="CJ72">
        <v>3.066666666666666</v>
      </c>
      <c r="CK72">
        <v>81.327777777777769</v>
      </c>
      <c r="CL72">
        <v>0</v>
      </c>
      <c r="CM72">
        <v>0.05</v>
      </c>
      <c r="CN72" t="s">
        <v>347</v>
      </c>
      <c r="CO72">
        <v>180</v>
      </c>
      <c r="CP72" t="s">
        <v>267</v>
      </c>
      <c r="CQ72">
        <v>1</v>
      </c>
      <c r="CR72">
        <v>15200</v>
      </c>
      <c r="CS72">
        <v>84.444444444444443</v>
      </c>
      <c r="CT72" t="s">
        <v>113</v>
      </c>
      <c r="CU72">
        <v>329.90180035650621</v>
      </c>
      <c r="CV72" s="8">
        <f t="shared" ref="CV72:CV73" si="32">CJ72/SUBTOTAL(9,$CJ$20:$CJ$73)</f>
        <v>7.5887231012156369E-3</v>
      </c>
      <c r="CW72">
        <f t="shared" ref="CW72:CW73" si="33">CU72*CV72</f>
        <v>2.5035334134980478</v>
      </c>
      <c r="CX72">
        <f t="shared" ref="CX72:CX73" si="34">CJ72-CW72</f>
        <v>0.56313325316861818</v>
      </c>
      <c r="CY72" s="11">
        <f t="shared" ref="CY72:CY73" si="35">IF(CN72="",O72*CX72,CO72*CX72/CQ72)</f>
        <v>101.36398557035128</v>
      </c>
    </row>
    <row r="73" spans="1:103" x14ac:dyDescent="0.25">
      <c r="A73" s="2">
        <v>46082</v>
      </c>
      <c r="B73" t="s">
        <v>198</v>
      </c>
      <c r="C73" t="s">
        <v>98</v>
      </c>
      <c r="D73" t="s">
        <v>112</v>
      </c>
      <c r="E73">
        <v>1</v>
      </c>
      <c r="F73">
        <v>2</v>
      </c>
      <c r="G73" t="s">
        <v>341</v>
      </c>
      <c r="H73" t="s">
        <v>342</v>
      </c>
      <c r="I73" t="s">
        <v>150</v>
      </c>
      <c r="J73" t="s">
        <v>103</v>
      </c>
      <c r="K73" t="s">
        <v>104</v>
      </c>
      <c r="L73" t="s">
        <v>343</v>
      </c>
      <c r="M73">
        <v>10</v>
      </c>
      <c r="N73">
        <v>3.3</v>
      </c>
      <c r="O73">
        <v>10900</v>
      </c>
      <c r="P73">
        <v>3</v>
      </c>
      <c r="Q73" t="s">
        <v>274</v>
      </c>
      <c r="R73" t="s">
        <v>275</v>
      </c>
      <c r="S73">
        <v>6.6799999999999998E-2</v>
      </c>
      <c r="T73">
        <v>1540</v>
      </c>
      <c r="U73">
        <v>10</v>
      </c>
      <c r="V73">
        <v>0</v>
      </c>
      <c r="W73">
        <v>3483</v>
      </c>
      <c r="X73" t="s">
        <v>344</v>
      </c>
      <c r="Y73" t="s">
        <v>348</v>
      </c>
      <c r="Z73" t="s">
        <v>349</v>
      </c>
      <c r="AA73">
        <v>7592</v>
      </c>
      <c r="AB73">
        <v>14639</v>
      </c>
      <c r="AC73">
        <v>14639</v>
      </c>
      <c r="AD73">
        <v>0</v>
      </c>
      <c r="AE73">
        <v>200</v>
      </c>
      <c r="AF73">
        <v>7392</v>
      </c>
      <c r="AG73">
        <v>0</v>
      </c>
      <c r="AH73">
        <v>7599</v>
      </c>
      <c r="AI73">
        <v>0</v>
      </c>
      <c r="AJ73">
        <v>0</v>
      </c>
      <c r="AK73">
        <v>0</v>
      </c>
      <c r="AL73" t="s">
        <v>348</v>
      </c>
      <c r="AM73">
        <v>14639</v>
      </c>
      <c r="AN73">
        <v>14639</v>
      </c>
      <c r="AO73">
        <v>0</v>
      </c>
      <c r="AP73">
        <v>200</v>
      </c>
      <c r="AQ73">
        <v>7392</v>
      </c>
      <c r="AR73">
        <v>0</v>
      </c>
      <c r="AS73">
        <v>7599</v>
      </c>
      <c r="AT73">
        <v>0</v>
      </c>
      <c r="AU73" t="s">
        <v>278</v>
      </c>
      <c r="AV73" t="s">
        <v>346</v>
      </c>
      <c r="AW73">
        <v>35969301.960000001</v>
      </c>
      <c r="AX73">
        <v>35969301.960000001</v>
      </c>
      <c r="AY73" t="s">
        <v>112</v>
      </c>
      <c r="AZ73">
        <v>0</v>
      </c>
      <c r="BA73">
        <v>0</v>
      </c>
      <c r="BB73">
        <v>35968736.150792181</v>
      </c>
      <c r="BC73">
        <v>35969300.565504588</v>
      </c>
      <c r="BD73">
        <v>35968736.150792181</v>
      </c>
      <c r="BE73">
        <v>35968736.150792181</v>
      </c>
      <c r="BF73">
        <v>35969300.565504588</v>
      </c>
      <c r="BG73">
        <v>392059224043.63483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347</v>
      </c>
      <c r="CO73">
        <v>180</v>
      </c>
      <c r="CP73" t="s">
        <v>267</v>
      </c>
      <c r="CQ73">
        <v>1</v>
      </c>
      <c r="CR73">
        <v>0</v>
      </c>
      <c r="CS73">
        <v>0</v>
      </c>
      <c r="CT73" t="s">
        <v>113</v>
      </c>
      <c r="CU73">
        <v>329.90180035650621</v>
      </c>
      <c r="CV73" s="8">
        <f t="shared" si="32"/>
        <v>0</v>
      </c>
      <c r="CW73">
        <f t="shared" si="33"/>
        <v>0</v>
      </c>
      <c r="CX73">
        <f t="shared" si="34"/>
        <v>0</v>
      </c>
      <c r="CY73" s="11">
        <f t="shared" si="35"/>
        <v>0</v>
      </c>
    </row>
  </sheetData>
  <autoFilter ref="A1:CT73" xr:uid="{00000000-0001-0000-0000-000000000000}">
    <filterColumn colId="3">
      <filters>
        <filter val="NA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Aluisio Egger</cp:lastModifiedBy>
  <dcterms:created xsi:type="dcterms:W3CDTF">2026-03-12T18:18:30Z</dcterms:created>
  <dcterms:modified xsi:type="dcterms:W3CDTF">2026-03-12T18:49:24Z</dcterms:modified>
</cp:coreProperties>
</file>